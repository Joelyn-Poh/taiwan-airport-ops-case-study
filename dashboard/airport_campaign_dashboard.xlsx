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69ab8f76d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8fbee9deee4c89"/>
    <x:sheet xmlns:r="http://schemas.openxmlformats.org/officeDocument/2006/relationships" name="Experiment" sheetId="2" r:id="R34a035ce6f5743f7"/>
    <x:sheet xmlns:r="http://schemas.openxmlformats.org/officeDocument/2006/relationships" name="Funnel" sheetId="3" r:id="Rb86077bf0c014dce"/>
    <x:sheet xmlns:r="http://schemas.openxmlformats.org/officeDocument/2006/relationships" name="Marketplace" sheetId="4" r:id="Rfb222cad609d4004"/>
    <x:sheet xmlns:r="http://schemas.openxmlformats.org/officeDocument/2006/relationships" name="Budget" sheetId="5" r:id="R05a4bb39e3b343d9"/>
    <x:sheet xmlns:r="http://schemas.openxmlformats.org/officeDocument/2006/relationships" name="Data Quality" sheetId="6" r:id="R122b4ee1f8c8485b"/>
    <x:sheet xmlns:r="http://schemas.openxmlformats.org/officeDocument/2006/relationships" name="Notes" sheetId="7" r:id="Rf03709b404f5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&quot;NT$&quot;#,##0"/>
    <x:numFmt numFmtId="203" formatCode="#,##0.0"/>
    <x:numFmt numFmtId="204" formatCode="0.0"/>
    <x:numFmt numFmtId="205" formatCode="&quot;NT$&quot;#,##0;[Red]-&quot;NT$&quot;#,##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D9E2EC"/>
      <x:name val="Carlito"/>
    </x:font>
    <x:font>
      <x:b/>
      <x:sz val="11"/>
      <x:color rgb="FFFFFFFF"/>
      <x:name val="Carlito"/>
    </x:font>
    <x:font>
      <x:b/>
      <x:sz val="10"/>
      <x:color rgb="FF212529"/>
      <x:name val="Carlito"/>
    </x:font>
    <x:font>
      <x:b/>
      <x:sz val="18"/>
      <x:color rgb="FF102A43"/>
      <x:name val="Carlito"/>
    </x:font>
    <x:font>
      <x:b/>
      <x:sz val="11"/>
      <x:color rgb="FF212529"/>
      <x:name val="Carlito"/>
    </x:font>
    <x:font>
      <x:sz val="9"/>
      <x:color rgb="FF495057"/>
      <x:name val="Carlito"/>
    </x:font>
    <x:font>
      <x:b/>
      <x:sz val="18"/>
      <x:color rgb="FF212529"/>
      <x:name val="Aptos"/>
    </x:font>
    <x:font>
      <x:i/>
      <x:sz val="10"/>
      <x:color rgb="FF212529"/>
      <x:name val="Aptos"/>
    </x:font>
    <x:font>
      <x:sz val="11"/>
      <x:color rgb="FF212529"/>
      <x:name val="Aptos"/>
    </x:font>
    <x:font>
      <x:b/>
      <x:sz val="10"/>
      <x:color rgb="FF212529"/>
      <x:name val="Aptos"/>
    </x:font>
    <x:font>
      <x:b/>
      <x:sz val="11"/>
      <x:color rgb="FF212529"/>
      <x:name val="Aptos"/>
    </x:font>
    <x:font>
      <x:sz val="9"/>
      <x:color rgb="FF212529"/>
      <x:name val="Aptos"/>
    </x:font>
    <x:font>
      <x:b/>
      <x:sz val="18"/>
      <x:color rgb="FFFFFFFF"/>
      <x:name val="Aptos Display"/>
    </x:font>
    <x:font>
      <x:i/>
      <x:sz val="10"/>
      <x:color rgb="FFD9E2EC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0B7285"/>
      </x:patternFill>
    </x:fill>
    <x:fill>
      <x:patternFill patternType="solid">
        <x:fgColor rgb="FFE7F5FF"/>
      </x:patternFill>
    </x:fill>
    <x:fill>
      <x:patternFill patternType="solid">
        <x:fgColor rgb="FFE6FCF5"/>
      </x:patternFill>
    </x:fill>
    <x:fill>
      <x:patternFill patternType="solid">
        <x:fgColor rgb="FFFFF3BF"/>
      </x:patternFill>
    </x:fill>
    <x:fill>
      <x:patternFill patternType="solid">
        <x:fgColor rgb="FFF1F3F5"/>
      </x:patternFill>
    </x:fill>
    <x:fill>
      <x:patternFill patternType="solid">
        <x:fgColor rgb="FFFFF5F5"/>
      </x:patternFill>
    </x:fill>
  </x:fills>
  <x:borders count="19">
    <x:border/>
    <x:border>
      <x:left style="thin">
        <x:color rgb="FFCED4DA"/>
      </x:left>
      <x:top style="thin">
        <x:color rgb="FFCED4DA"/>
      </x:top>
      <x:bottom style="thin">
        <x:color rgb="FFCED4DA"/>
      </x:bottom>
    </x:border>
    <x:border>
      <x:top style="thin">
        <x:color rgb="FFCED4DA"/>
      </x:top>
      <x:bottom style="thin">
        <x:color rgb="FFCED4DA"/>
      </x:bottom>
    </x:border>
    <x:border>
      <x:right style="thin">
        <x:color rgb="FFCED4DA"/>
      </x:right>
      <x:top style="thin">
        <x:color rgb="FFCED4DA"/>
      </x:top>
      <x:bottom style="thin">
        <x:color rgb="FFCED4DA"/>
      </x:bottom>
    </x:border>
    <x:border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bottom style="thin">
        <x:color rgb="FFE9ECEF"/>
      </x:bottom>
    </x:border>
    <x:border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top style="thin">
        <x:color rgb="FFE9ECEF"/>
      </x:top>
      <x:bottom style="thin">
        <x:color rgb="FFE9ECEF"/>
      </x:bottom>
    </x:border>
    <x:border>
      <x:right style="thin">
        <x:color rgb="FFE9ECEF"/>
      </x:right>
      <x:top style="thin">
        <x:color rgb="FFE9ECEF"/>
      </x:top>
    </x:border>
    <x:border>
      <x:left style="thin">
        <x:color rgb="FFE9ECEF"/>
      </x:left>
      <x:right style="thin">
        <x:color rgb="FFE9ECEF"/>
      </x:right>
      <x:top style="thin">
        <x:color rgb="FFE9ECEF"/>
      </x:top>
    </x:border>
    <x:border>
      <x:left style="thin">
        <x:color rgb="FFE9ECEF"/>
      </x:left>
      <x:top style="thin">
        <x:color rgb="FFE9ECEF"/>
      </x:top>
    </x:border>
    <x:border>
      <x:left style="thin">
        <x:color rgb="FFCED4DA"/>
      </x:left>
      <x:top style="thin">
        <x:color rgb="FFCED4DA"/>
      </x:top>
    </x:border>
    <x:border>
      <x:top style="thin">
        <x:color rgb="FFCED4DA"/>
      </x:top>
    </x:border>
    <x:border>
      <x:right style="thin">
        <x:color rgb="FFCED4DA"/>
      </x:right>
      <x:top style="thin">
        <x:color rgb="FFCED4DA"/>
      </x:top>
    </x:border>
    <x:border>
      <x:left style="thin">
        <x:color rgb="FFCED4DA"/>
      </x:left>
      <x:bottom style="thin">
        <x:color rgb="FFCED4DA"/>
      </x:bottom>
    </x:border>
    <x:border>
      <x:bottom style="thin">
        <x:color rgb="FFCED4DA"/>
      </x:bottom>
    </x:border>
    <x:border>
      <x:right style="thin">
        <x:color rgb="FFCED4DA"/>
      </x:right>
      <x:bottom style="thin">
        <x:color rgb="FFCED4DA"/>
      </x:bottom>
    </x:border>
  </x:borders>
  <x:cellStyleXfs count="1">
    <x:xf numFmtId="0" fontId="0" fillId="0" borderId="0"/>
  </x:cellStyleXfs>
  <x:cellXfs count="3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3" fontId="0" fillId="0" borderId="11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3" fontId="0" fillId="0" borderId="12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8" xfId="0" applyNumberFormat="1" applyFont="1" applyFill="1" applyBorder="1" applyAlignment="1">
      <x:alignment vertical="center"/>
    </x:xf>
    <x:xf numFmtId="204" fontId="0" fillId="0" borderId="11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8" xfId="0" applyNumberFormat="1" applyFont="1" applyFill="1" applyBorder="1"/>
    <x:xf numFmtId="201" fontId="5" fillId="4" borderId="13" xfId="0" applyNumberFormat="1" applyFont="1" applyFill="1" applyBorder="1"/>
    <x:xf numFmtId="201" fontId="5" fillId="4" borderId="14" xfId="0" applyNumberFormat="1" applyFont="1" applyFill="1" applyBorder="1"/>
    <x:xf numFmtId="201" fontId="5" fillId="4" borderId="15" xfId="0" applyNumberFormat="1" applyFont="1" applyFill="1" applyBorder="1"/>
    <x:xf numFmtId="201" fontId="5" fillId="4" borderId="16" xfId="0" applyNumberFormat="1" applyFont="1" applyFill="1" applyBorder="1"/>
    <x:xf numFmtId="201" fontId="5" fillId="4" borderId="17" xfId="0" applyNumberFormat="1" applyFont="1" applyFill="1" applyBorder="1"/>
    <x:xf numFmtId="201" fontId="5" fillId="4" borderId="18" xfId="0" applyNumberFormat="1" applyFont="1" applyFill="1" applyBorder="1"/>
    <x:xf numFmtId="201" fontId="5" fillId="4" borderId="13" xfId="0" applyNumberFormat="1" applyFont="1" applyFill="1" applyBorder="1" applyAlignment="1">
      <x:alignment horizontal="center"/>
    </x:xf>
    <x:xf numFmtId="201" fontId="5" fillId="4" borderId="14" xfId="0" applyNumberFormat="1" applyFont="1" applyFill="1" applyBorder="1" applyAlignment="1">
      <x:alignment horizontal="center"/>
    </x:xf>
    <x:xf numFmtId="201" fontId="5" fillId="4" borderId="15" xfId="0" applyNumberFormat="1" applyFont="1" applyFill="1" applyBorder="1" applyAlignment="1">
      <x:alignment horizontal="center"/>
    </x:xf>
    <x:xf numFmtId="201" fontId="5" fillId="4" borderId="16" xfId="0" applyNumberFormat="1" applyFont="1" applyFill="1" applyBorder="1" applyAlignment="1">
      <x:alignment horizontal="center"/>
    </x:xf>
    <x:xf numFmtId="201" fontId="5" fillId="4" borderId="17" xfId="0" applyNumberFormat="1" applyFont="1" applyFill="1" applyBorder="1" applyAlignment="1">
      <x:alignment horizontal="center"/>
    </x:xf>
    <x:xf numFmtId="201" fontId="5" fillId="4" borderId="18" xfId="0" applyNumberFormat="1" applyFont="1" applyFill="1" applyBorder="1" applyAlignment="1">
      <x:alignment horizontal="center"/>
    </x:xf>
    <x:xf numFmtId="201" fontId="5" fillId="4" borderId="13" xfId="0" applyNumberFormat="1" applyFont="1" applyFill="1" applyBorder="1" applyAlignment="1">
      <x:alignment horizontal="center" vertical="center"/>
    </x:xf>
    <x:xf numFmtId="201" fontId="5" fillId="4" borderId="14" xfId="0" applyNumberFormat="1" applyFont="1" applyFill="1" applyBorder="1" applyAlignment="1">
      <x:alignment horizontal="center" vertical="center"/>
    </x:xf>
    <x:xf numFmtId="201" fontId="5" fillId="4" borderId="15" xfId="0" applyNumberFormat="1" applyFont="1" applyFill="1" applyBorder="1" applyAlignment="1">
      <x:alignment horizontal="center" vertical="center"/>
    </x:xf>
    <x:xf numFmtId="201" fontId="5" fillId="4" borderId="16" xfId="0" applyNumberFormat="1" applyFont="1" applyFill="1" applyBorder="1" applyAlignment="1">
      <x:alignment horizontal="center" vertical="center"/>
    </x:xf>
    <x:xf numFmtId="201" fontId="5" fillId="4" borderId="17" xfId="0" applyNumberFormat="1" applyFont="1" applyFill="1" applyBorder="1" applyAlignment="1">
      <x:alignment horizontal="center" vertical="center"/>
    </x:xf>
    <x:xf numFmtId="201" fontId="5" fillId="4" borderId="1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201" fontId="5" fillId="5" borderId="13" xfId="0" applyNumberFormat="1" applyFont="1" applyFill="1" applyBorder="1"/>
    <x:xf numFmtId="201" fontId="5" fillId="5" borderId="14" xfId="0" applyNumberFormat="1" applyFont="1" applyFill="1" applyBorder="1"/>
    <x:xf numFmtId="201" fontId="5" fillId="5" borderId="15" xfId="0" applyNumberFormat="1" applyFont="1" applyFill="1" applyBorder="1"/>
    <x:xf numFmtId="201" fontId="5" fillId="5" borderId="16" xfId="0" applyNumberFormat="1" applyFont="1" applyFill="1" applyBorder="1"/>
    <x:xf numFmtId="201" fontId="5" fillId="5" borderId="17" xfId="0" applyNumberFormat="1" applyFont="1" applyFill="1" applyBorder="1"/>
    <x:xf numFmtId="201" fontId="5" fillId="5" borderId="18" xfId="0" applyNumberFormat="1" applyFont="1" applyFill="1" applyBorder="1"/>
    <x:xf numFmtId="201" fontId="5" fillId="5" borderId="13" xfId="0" applyNumberFormat="1" applyFont="1" applyFill="1" applyBorder="1" applyAlignment="1">
      <x:alignment horizontal="center"/>
    </x:xf>
    <x:xf numFmtId="201" fontId="5" fillId="5" borderId="14" xfId="0" applyNumberFormat="1" applyFont="1" applyFill="1" applyBorder="1" applyAlignment="1">
      <x:alignment horizontal="center"/>
    </x:xf>
    <x:xf numFmtId="201" fontId="5" fillId="5" borderId="15" xfId="0" applyNumberFormat="1" applyFont="1" applyFill="1" applyBorder="1" applyAlignment="1">
      <x:alignment horizontal="center"/>
    </x:xf>
    <x:xf numFmtId="201" fontId="5" fillId="5" borderId="16" xfId="0" applyNumberFormat="1" applyFont="1" applyFill="1" applyBorder="1" applyAlignment="1">
      <x:alignment horizontal="center"/>
    </x:xf>
    <x:xf numFmtId="201" fontId="5" fillId="5" borderId="17" xfId="0" applyNumberFormat="1" applyFont="1" applyFill="1" applyBorder="1" applyAlignment="1">
      <x:alignment horizontal="center"/>
    </x:xf>
    <x:xf numFmtId="201" fontId="5" fillId="5" borderId="18" xfId="0" applyNumberFormat="1" applyFont="1" applyFill="1" applyBorder="1" applyAlignment="1">
      <x:alignment horizontal="center"/>
    </x:xf>
    <x:xf numFmtId="201" fontId="5" fillId="5" borderId="13" xfId="0" applyNumberFormat="1" applyFont="1" applyFill="1" applyBorder="1" applyAlignment="1">
      <x:alignment horizontal="center" vertical="center"/>
    </x:xf>
    <x:xf numFmtId="201" fontId="5" fillId="5" borderId="14" xfId="0" applyNumberFormat="1" applyFont="1" applyFill="1" applyBorder="1" applyAlignment="1">
      <x:alignment horizontal="center" vertical="center"/>
    </x:xf>
    <x:xf numFmtId="201" fontId="5" fillId="5" borderId="15" xfId="0" applyNumberFormat="1" applyFont="1" applyFill="1" applyBorder="1" applyAlignment="1">
      <x:alignment horizontal="center" vertical="center"/>
    </x:xf>
    <x:xf numFmtId="201" fontId="5" fillId="5" borderId="16" xfId="0" applyNumberFormat="1" applyFont="1" applyFill="1" applyBorder="1" applyAlignment="1">
      <x:alignment horizontal="center" vertical="center"/>
    </x:xf>
    <x:xf numFmtId="201" fontId="5" fillId="5" borderId="17" xfId="0" applyNumberFormat="1" applyFont="1" applyFill="1" applyBorder="1" applyAlignment="1">
      <x:alignment horizontal="center" vertical="center"/>
    </x:xf>
    <x:xf numFmtId="201" fontId="5" fillId="5" borderId="1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205" fontId="5" fillId="6" borderId="13" xfId="0" applyNumberFormat="1" applyFont="1" applyFill="1" applyBorder="1"/>
    <x:xf numFmtId="205" fontId="5" fillId="6" borderId="14" xfId="0" applyNumberFormat="1" applyFont="1" applyFill="1" applyBorder="1"/>
    <x:xf numFmtId="205" fontId="5" fillId="6" borderId="15" xfId="0" applyNumberFormat="1" applyFont="1" applyFill="1" applyBorder="1"/>
    <x:xf numFmtId="205" fontId="5" fillId="6" borderId="16" xfId="0" applyNumberFormat="1" applyFont="1" applyFill="1" applyBorder="1"/>
    <x:xf numFmtId="205" fontId="5" fillId="6" borderId="17" xfId="0" applyNumberFormat="1" applyFont="1" applyFill="1" applyBorder="1"/>
    <x:xf numFmtId="205" fontId="5" fillId="6" borderId="18" xfId="0" applyNumberFormat="1" applyFont="1" applyFill="1" applyBorder="1"/>
    <x:xf numFmtId="205" fontId="5" fillId="6" borderId="13" xfId="0" applyNumberFormat="1" applyFont="1" applyFill="1" applyBorder="1" applyAlignment="1">
      <x:alignment horizontal="center"/>
    </x:xf>
    <x:xf numFmtId="205" fontId="5" fillId="6" borderId="14" xfId="0" applyNumberFormat="1" applyFont="1" applyFill="1" applyBorder="1" applyAlignment="1">
      <x:alignment horizontal="center"/>
    </x:xf>
    <x:xf numFmtId="205" fontId="5" fillId="6" borderId="15" xfId="0" applyNumberFormat="1" applyFont="1" applyFill="1" applyBorder="1" applyAlignment="1">
      <x:alignment horizontal="center"/>
    </x:xf>
    <x:xf numFmtId="205" fontId="5" fillId="6" borderId="16" xfId="0" applyNumberFormat="1" applyFont="1" applyFill="1" applyBorder="1" applyAlignment="1">
      <x:alignment horizontal="center"/>
    </x:xf>
    <x:xf numFmtId="205" fontId="5" fillId="6" borderId="17" xfId="0" applyNumberFormat="1" applyFont="1" applyFill="1" applyBorder="1" applyAlignment="1">
      <x:alignment horizontal="center"/>
    </x:xf>
    <x:xf numFmtId="205" fontId="5" fillId="6" borderId="18" xfId="0" applyNumberFormat="1" applyFont="1" applyFill="1" applyBorder="1" applyAlignment="1">
      <x:alignment horizontal="center"/>
    </x:xf>
    <x:xf numFmtId="205" fontId="5" fillId="6" borderId="13" xfId="0" applyNumberFormat="1" applyFont="1" applyFill="1" applyBorder="1" applyAlignment="1">
      <x:alignment horizontal="center" vertical="center"/>
    </x:xf>
    <x:xf numFmtId="205" fontId="5" fillId="6" borderId="14" xfId="0" applyNumberFormat="1" applyFont="1" applyFill="1" applyBorder="1" applyAlignment="1">
      <x:alignment horizontal="center" vertical="center"/>
    </x:xf>
    <x:xf numFmtId="205" fontId="5" fillId="6" borderId="15" xfId="0" applyNumberFormat="1" applyFont="1" applyFill="1" applyBorder="1" applyAlignment="1">
      <x:alignment horizontal="center" vertical="center"/>
    </x:xf>
    <x:xf numFmtId="205" fontId="5" fillId="6" borderId="16" xfId="0" applyNumberFormat="1" applyFont="1" applyFill="1" applyBorder="1" applyAlignment="1">
      <x:alignment horizontal="center" vertical="center"/>
    </x:xf>
    <x:xf numFmtId="205" fontId="5" fillId="6" borderId="17" xfId="0" applyNumberFormat="1" applyFont="1" applyFill="1" applyBorder="1" applyAlignment="1">
      <x:alignment horizontal="center" vertical="center"/>
    </x:xf>
    <x:xf numFmtId="205" fontId="5" fillId="6" borderId="1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200" fontId="5" fillId="7" borderId="13" xfId="0" applyNumberFormat="1" applyFont="1" applyFill="1" applyBorder="1"/>
    <x:xf numFmtId="200" fontId="5" fillId="7" borderId="14" xfId="0" applyNumberFormat="1" applyFont="1" applyFill="1" applyBorder="1"/>
    <x:xf numFmtId="200" fontId="5" fillId="7" borderId="15" xfId="0" applyNumberFormat="1" applyFont="1" applyFill="1" applyBorder="1"/>
    <x:xf numFmtId="200" fontId="5" fillId="7" borderId="16" xfId="0" applyNumberFormat="1" applyFont="1" applyFill="1" applyBorder="1"/>
    <x:xf numFmtId="200" fontId="5" fillId="7" borderId="17" xfId="0" applyNumberFormat="1" applyFont="1" applyFill="1" applyBorder="1"/>
    <x:xf numFmtId="200" fontId="5" fillId="7" borderId="18" xfId="0" applyNumberFormat="1" applyFont="1" applyFill="1" applyBorder="1"/>
    <x:xf numFmtId="200" fontId="5" fillId="7" borderId="13" xfId="0" applyNumberFormat="1" applyFont="1" applyFill="1" applyBorder="1" applyAlignment="1">
      <x:alignment horizontal="center"/>
    </x:xf>
    <x:xf numFmtId="200" fontId="5" fillId="7" borderId="14" xfId="0" applyNumberFormat="1" applyFont="1" applyFill="1" applyBorder="1" applyAlignment="1">
      <x:alignment horizontal="center"/>
    </x:xf>
    <x:xf numFmtId="200" fontId="5" fillId="7" borderId="15" xfId="0" applyNumberFormat="1" applyFont="1" applyFill="1" applyBorder="1" applyAlignment="1">
      <x:alignment horizontal="center"/>
    </x:xf>
    <x:xf numFmtId="200" fontId="5" fillId="7" borderId="16" xfId="0" applyNumberFormat="1" applyFont="1" applyFill="1" applyBorder="1" applyAlignment="1">
      <x:alignment horizontal="center"/>
    </x:xf>
    <x:xf numFmtId="200" fontId="5" fillId="7" borderId="17" xfId="0" applyNumberFormat="1" applyFont="1" applyFill="1" applyBorder="1" applyAlignment="1">
      <x:alignment horizontal="center"/>
    </x:xf>
    <x:xf numFmtId="200" fontId="5" fillId="7" borderId="18" xfId="0" applyNumberFormat="1" applyFont="1" applyFill="1" applyBorder="1" applyAlignment="1">
      <x:alignment horizontal="center"/>
    </x:xf>
    <x:xf numFmtId="200" fontId="5" fillId="7" borderId="13" xfId="0" applyNumberFormat="1" applyFont="1" applyFill="1" applyBorder="1" applyAlignment="1">
      <x:alignment horizontal="center" vertical="center"/>
    </x:xf>
    <x:xf numFmtId="200" fontId="5" fillId="7" borderId="14" xfId="0" applyNumberFormat="1" applyFont="1" applyFill="1" applyBorder="1" applyAlignment="1">
      <x:alignment horizontal="center" vertical="center"/>
    </x:xf>
    <x:xf numFmtId="200" fontId="5" fillId="7" borderId="15" xfId="0" applyNumberFormat="1" applyFont="1" applyFill="1" applyBorder="1" applyAlignment="1">
      <x:alignment horizontal="center" vertical="center"/>
    </x:xf>
    <x:xf numFmtId="200" fontId="5" fillId="7" borderId="16" xfId="0" applyNumberFormat="1" applyFont="1" applyFill="1" applyBorder="1" applyAlignment="1">
      <x:alignment horizontal="center" vertical="center"/>
    </x:xf>
    <x:xf numFmtId="200" fontId="5" fillId="7" borderId="17" xfId="0" applyNumberFormat="1" applyFont="1" applyFill="1" applyBorder="1" applyAlignment="1">
      <x:alignment horizontal="center" vertical="center"/>
    </x:xf>
    <x:xf numFmtId="200" fontId="5" fillId="7" borderId="1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2" xfId="0" applyNumberFormat="1" applyFont="1" applyFill="1" applyBorder="1" applyAlignment="1">
      <x:alignment horizontal="center" wrapText="1"/>
    </x:xf>
    <x:xf numFmtId="0" fontId="4" fillId="8" borderId="3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/>
    <x:xf numFmtId="0" fontId="5" fillId="8" borderId="15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8" xfId="0" applyNumberFormat="1" applyFont="1" applyFill="1" applyBorder="1"/>
    <x:xf numFmtId="201" fontId="5" fillId="8" borderId="13" xfId="0" applyNumberFormat="1" applyFont="1" applyFill="1" applyBorder="1"/>
    <x:xf numFmtId="201" fontId="5" fillId="8" borderId="14" xfId="0" applyNumberFormat="1" applyFont="1" applyFill="1" applyBorder="1"/>
    <x:xf numFmtId="201" fontId="5" fillId="8" borderId="15" xfId="0" applyNumberFormat="1" applyFont="1" applyFill="1" applyBorder="1"/>
    <x:xf numFmtId="201" fontId="5" fillId="8" borderId="16" xfId="0" applyNumberFormat="1" applyFont="1" applyFill="1" applyBorder="1"/>
    <x:xf numFmtId="201" fontId="5" fillId="8" borderId="17" xfId="0" applyNumberFormat="1" applyFont="1" applyFill="1" applyBorder="1"/>
    <x:xf numFmtId="201" fontId="5" fillId="8" borderId="18" xfId="0" applyNumberFormat="1" applyFont="1" applyFill="1" applyBorder="1"/>
    <x:xf numFmtId="201" fontId="5" fillId="8" borderId="13" xfId="0" applyNumberFormat="1" applyFont="1" applyFill="1" applyBorder="1" applyAlignment="1">
      <x:alignment horizontal="center"/>
    </x:xf>
    <x:xf numFmtId="201" fontId="5" fillId="8" borderId="14" xfId="0" applyNumberFormat="1" applyFont="1" applyFill="1" applyBorder="1" applyAlignment="1">
      <x:alignment horizontal="center"/>
    </x:xf>
    <x:xf numFmtId="201" fontId="5" fillId="8" borderId="15" xfId="0" applyNumberFormat="1" applyFont="1" applyFill="1" applyBorder="1" applyAlignment="1">
      <x:alignment horizontal="center"/>
    </x:xf>
    <x:xf numFmtId="201" fontId="5" fillId="8" borderId="16" xfId="0" applyNumberFormat="1" applyFont="1" applyFill="1" applyBorder="1" applyAlignment="1">
      <x:alignment horizontal="center"/>
    </x:xf>
    <x:xf numFmtId="201" fontId="5" fillId="8" borderId="17" xfId="0" applyNumberFormat="1" applyFont="1" applyFill="1" applyBorder="1" applyAlignment="1">
      <x:alignment horizontal="center"/>
    </x:xf>
    <x:xf numFmtId="201" fontId="5" fillId="8" borderId="18" xfId="0" applyNumberFormat="1" applyFont="1" applyFill="1" applyBorder="1" applyAlignment="1">
      <x:alignment horizontal="center"/>
    </x:xf>
    <x:xf numFmtId="201" fontId="5" fillId="8" borderId="13" xfId="0" applyNumberFormat="1" applyFont="1" applyFill="1" applyBorder="1" applyAlignment="1">
      <x:alignment horizontal="center" vertical="center"/>
    </x:xf>
    <x:xf numFmtId="201" fontId="5" fillId="8" borderId="14" xfId="0" applyNumberFormat="1" applyFont="1" applyFill="1" applyBorder="1" applyAlignment="1">
      <x:alignment horizontal="center" vertical="center"/>
    </x:xf>
    <x:xf numFmtId="201" fontId="5" fillId="8" borderId="15" xfId="0" applyNumberFormat="1" applyFont="1" applyFill="1" applyBorder="1" applyAlignment="1">
      <x:alignment horizontal="center" vertical="center"/>
    </x:xf>
    <x:xf numFmtId="201" fontId="5" fillId="8" borderId="16" xfId="0" applyNumberFormat="1" applyFont="1" applyFill="1" applyBorder="1" applyAlignment="1">
      <x:alignment horizontal="center" vertical="center"/>
    </x:xf>
    <x:xf numFmtId="201" fontId="5" fillId="8" borderId="17" xfId="0" applyNumberFormat="1" applyFont="1" applyFill="1" applyBorder="1" applyAlignment="1">
      <x:alignment horizontal="center" vertical="center"/>
    </x:xf>
    <x:xf numFmtId="201" fontId="5" fillId="8" borderId="18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1" fillId="5" borderId="2" xfId="0" applyNumberFormat="1" applyFont="1" applyFill="1" applyBorder="1" applyAlignment="1">
      <x:alignment horizontal="center" vertical="center" wrapText="1"/>
    </x:xf>
    <x:xf numFmtId="0" fontId="11" fillId="5" borderId="3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7" borderId="2" xfId="0" applyNumberFormat="1" applyFont="1" applyFill="1" applyBorder="1" applyAlignment="1">
      <x:alignment horizontal="center" vertical="center" wrapText="1"/>
    </x:xf>
    <x:xf numFmtId="0" fontId="11" fillId="7" borderId="3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8" borderId="2" xfId="0" applyNumberFormat="1" applyFont="1" applyFill="1" applyBorder="1" applyAlignment="1">
      <x:alignment horizontal="center" vertical="center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201" fontId="8" fillId="4" borderId="13" xfId="0" applyNumberFormat="1" applyFont="1" applyFill="1" applyBorder="1" applyAlignment="1">
      <x:alignment horizontal="center" vertical="center"/>
    </x:xf>
    <x:xf numFmtId="201" fontId="8" fillId="4" borderId="14" xfId="0" applyNumberFormat="1" applyFont="1" applyFill="1" applyBorder="1" applyAlignment="1">
      <x:alignment horizontal="center" vertical="center"/>
    </x:xf>
    <x:xf numFmtId="201" fontId="8" fillId="4" borderId="15" xfId="0" applyNumberFormat="1" applyFont="1" applyFill="1" applyBorder="1" applyAlignment="1">
      <x:alignment horizontal="center" vertical="center"/>
    </x:xf>
    <x:xf numFmtId="201" fontId="8" fillId="5" borderId="13" xfId="0" applyNumberFormat="1" applyFont="1" applyFill="1" applyBorder="1" applyAlignment="1">
      <x:alignment horizontal="center" vertical="center"/>
    </x:xf>
    <x:xf numFmtId="201" fontId="8" fillId="5" borderId="14" xfId="0" applyNumberFormat="1" applyFont="1" applyFill="1" applyBorder="1" applyAlignment="1">
      <x:alignment horizontal="center" vertical="center"/>
    </x:xf>
    <x:xf numFmtId="201" fontId="8" fillId="5" borderId="15" xfId="0" applyNumberFormat="1" applyFont="1" applyFill="1" applyBorder="1" applyAlignment="1">
      <x:alignment horizontal="center" vertical="center"/>
    </x:xf>
    <x:xf numFmtId="205" fontId="8" fillId="6" borderId="13" xfId="0" applyNumberFormat="1" applyFont="1" applyFill="1" applyBorder="1" applyAlignment="1">
      <x:alignment horizontal="center" vertical="center"/>
    </x:xf>
    <x:xf numFmtId="205" fontId="8" fillId="6" borderId="14" xfId="0" applyNumberFormat="1" applyFont="1" applyFill="1" applyBorder="1" applyAlignment="1">
      <x:alignment horizontal="center" vertical="center"/>
    </x:xf>
    <x:xf numFmtId="205" fontId="8" fillId="6" borderId="15" xfId="0" applyNumberFormat="1" applyFont="1" applyFill="1" applyBorder="1" applyAlignment="1">
      <x:alignment horizontal="center" vertical="center"/>
    </x:xf>
    <x:xf numFmtId="200" fontId="8" fillId="7" borderId="13" xfId="0" applyNumberFormat="1" applyFont="1" applyFill="1" applyBorder="1" applyAlignment="1">
      <x:alignment horizontal="center" vertical="center"/>
    </x:xf>
    <x:xf numFmtId="200" fontId="8" fillId="7" borderId="14" xfId="0" applyNumberFormat="1" applyFont="1" applyFill="1" applyBorder="1" applyAlignment="1">
      <x:alignment horizontal="center" vertical="center"/>
    </x:xf>
    <x:xf numFmtId="200" fontId="8" fillId="7" borderId="15" xfId="0" applyNumberFormat="1" applyFont="1" applyFill="1" applyBorder="1" applyAlignment="1">
      <x:alignment horizontal="center" vertical="center"/>
    </x:xf>
    <x:xf numFmtId="201" fontId="8" fillId="8" borderId="13" xfId="0" applyNumberFormat="1" applyFont="1" applyFill="1" applyBorder="1" applyAlignment="1">
      <x:alignment horizontal="center" vertical="center"/>
    </x:xf>
    <x:xf numFmtId="201" fontId="8" fillId="8" borderId="14" xfId="0" applyNumberFormat="1" applyFont="1" applyFill="1" applyBorder="1" applyAlignment="1">
      <x:alignment horizontal="center" vertical="center"/>
    </x:xf>
    <x:xf numFmtId="201" fontId="8" fillId="8" borderId="15" xfId="0" applyNumberFormat="1" applyFont="1" applyFill="1" applyBorder="1" applyAlignment="1">
      <x:alignment horizontal="center" vertical="center"/>
    </x:xf>
    <x:xf numFmtId="201" fontId="8" fillId="4" borderId="16" xfId="0" applyNumberFormat="1" applyFont="1" applyFill="1" applyBorder="1" applyAlignment="1">
      <x:alignment horizontal="center" vertical="center"/>
    </x:xf>
    <x:xf numFmtId="201" fontId="8" fillId="4" borderId="17" xfId="0" applyNumberFormat="1" applyFont="1" applyFill="1" applyBorder="1" applyAlignment="1">
      <x:alignment horizontal="center" vertical="center"/>
    </x:xf>
    <x:xf numFmtId="201" fontId="8" fillId="4" borderId="18" xfId="0" applyNumberFormat="1" applyFont="1" applyFill="1" applyBorder="1" applyAlignment="1">
      <x:alignment horizontal="center" vertical="center"/>
    </x:xf>
    <x:xf numFmtId="201" fontId="8" fillId="5" borderId="16" xfId="0" applyNumberFormat="1" applyFont="1" applyFill="1" applyBorder="1" applyAlignment="1">
      <x:alignment horizontal="center" vertical="center"/>
    </x:xf>
    <x:xf numFmtId="201" fontId="8" fillId="5" borderId="17" xfId="0" applyNumberFormat="1" applyFont="1" applyFill="1" applyBorder="1" applyAlignment="1">
      <x:alignment horizontal="center" vertical="center"/>
    </x:xf>
    <x:xf numFmtId="201" fontId="8" fillId="5" borderId="18" xfId="0" applyNumberFormat="1" applyFont="1" applyFill="1" applyBorder="1" applyAlignment="1">
      <x:alignment horizontal="center" vertical="center"/>
    </x:xf>
    <x:xf numFmtId="205" fontId="8" fillId="6" borderId="16" xfId="0" applyNumberFormat="1" applyFont="1" applyFill="1" applyBorder="1" applyAlignment="1">
      <x:alignment horizontal="center" vertical="center"/>
    </x:xf>
    <x:xf numFmtId="205" fontId="8" fillId="6" borderId="17" xfId="0" applyNumberFormat="1" applyFont="1" applyFill="1" applyBorder="1" applyAlignment="1">
      <x:alignment horizontal="center" vertical="center"/>
    </x:xf>
    <x:xf numFmtId="205" fontId="8" fillId="6" borderId="18" xfId="0" applyNumberFormat="1" applyFont="1" applyFill="1" applyBorder="1" applyAlignment="1">
      <x:alignment horizontal="center" vertical="center"/>
    </x:xf>
    <x:xf numFmtId="200" fontId="8" fillId="7" borderId="16" xfId="0" applyNumberFormat="1" applyFont="1" applyFill="1" applyBorder="1" applyAlignment="1">
      <x:alignment horizontal="center" vertical="center"/>
    </x:xf>
    <x:xf numFmtId="200" fontId="8" fillId="7" borderId="17" xfId="0" applyNumberFormat="1" applyFont="1" applyFill="1" applyBorder="1" applyAlignment="1">
      <x:alignment horizontal="center" vertical="center"/>
    </x:xf>
    <x:xf numFmtId="200" fontId="8" fillId="7" borderId="18" xfId="0" applyNumberFormat="1" applyFont="1" applyFill="1" applyBorder="1" applyAlignment="1">
      <x:alignment horizontal="center" vertical="center"/>
    </x:xf>
    <x:xf numFmtId="201" fontId="8" fillId="8" borderId="16" xfId="0" applyNumberFormat="1" applyFont="1" applyFill="1" applyBorder="1" applyAlignment="1">
      <x:alignment horizontal="center" vertical="center"/>
    </x:xf>
    <x:xf numFmtId="201" fontId="8" fillId="8" borderId="17" xfId="0" applyNumberFormat="1" applyFont="1" applyFill="1" applyBorder="1" applyAlignment="1">
      <x:alignment horizontal="center" vertical="center"/>
    </x:xf>
    <x:xf numFmtId="201" fontId="8" fillId="8" borderId="18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 applyAlignment="1">
      <x:alignment vertical="center" wrapText="1"/>
    </x:xf>
    <x:xf numFmtId="0" fontId="12" fillId="6" borderId="2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horizontal="center" vertical="center" wrapText="1"/>
    </x:xf>
    <x:xf numFmtId="0" fontId="12" fillId="3" borderId="2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horizontal="center" vertical="center" wrapText="1"/>
    </x:xf>
    <x:xf numFmtId="201" fontId="10" fillId="0" borderId="0" xfId="0" applyNumberFormat="1" applyFont="1" applyFill="1" applyBorder="1"/>
    <x:xf numFmtId="200" fontId="10" fillId="0" borderId="0" xfId="0" applyNumberFormat="1" applyFont="1" applyFill="1" applyBorder="1"/>
    <x:xf numFmtId="204" fontId="10" fillId="0" borderId="0" xfId="0" applyNumberFormat="1" applyFont="1" applyFill="1" applyBorder="1"/>
    <x:xf numFmtId="0" fontId="13" fillId="7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7">
    <x:dxf>
      <x:font>
        <x:b/>
        <x:color rgb="FF12B886"/>
      </x:font>
      <x:fill>
        <x:patternFill patternType="solid">
          <x:bgColor rgb="FFE6FCF5"/>
        </x:patternFill>
      </x:fill>
    </x:dxf>
    <x:dxf>
      <x:font>
        <x:b/>
        <x:color rgb="FFF08C00"/>
      </x:font>
      <x:fill>
        <x:patternFill patternType="solid">
          <x:bgColor rgb="FFFFF3BF"/>
        </x:patternFill>
      </x:fill>
    </x:dxf>
    <x:dxf>
      <x:font>
        <x:b/>
        <x:color rgb="FFC92A2A"/>
      </x:font>
      <x:fill>
        <x:patternFill patternType="solid">
          <x:bgColor rgb="FFFFF5F5"/>
        </x:patternFill>
      </x:fill>
    </x:dxf>
    <x:dxf>
      <x:font>
        <x:b/>
        <x:color rgb="FFC92A2A"/>
      </x:font>
      <x:fill>
        <x:patternFill patternType="solid">
          <x:bgColor rgb="FFFFF5F5"/>
        </x:patternFill>
      </x:fill>
    </x:dxf>
    <x:dxf>
      <x:font>
        <x:b/>
        <x:color rgb="FF12B886"/>
      </x:font>
      <x:fill>
        <x:patternFill patternType="solid">
          <x:bgColor rgb="FFE6FCF5"/>
        </x:patternFill>
      </x:fill>
    </x:dxf>
    <x:dxf>
      <x:font>
        <x:b/>
        <x:color rgb="FFC92A2A"/>
      </x:font>
      <x:fill>
        <x:patternFill patternType="solid">
          <x:bgColor rgb="FFFFF5F5"/>
        </x:patternFill>
      </x:fill>
    </x:dxf>
    <x:dxf>
      <x:font>
        <x:b/>
        <x:color rgb="FFC92A2A"/>
      </x:font>
      <x:fill>
        <x:patternFill patternType="solid">
          <x:bgColor rgb="FFFFF5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213af9bba40b9" /><Relationship Type="http://schemas.openxmlformats.org/officeDocument/2006/relationships/theme" Target="/xl/theme/theme1.xml" Id="Rf91498f09f44491a" /><Relationship Type="http://schemas.openxmlformats.org/officeDocument/2006/relationships/sharedStrings" Target="/xl/sharedStrings.xml" Id="R9cae242d43f64e8a" /><Relationship Type="http://schemas.openxmlformats.org/officeDocument/2006/relationships/worksheet" Target="/xl/worksheets/sheet1.xml" Id="R128fbee9deee4c89" /><Relationship Type="http://schemas.openxmlformats.org/officeDocument/2006/relationships/worksheet" Target="/xl/worksheets/sheet2.xml" Id="R34a035ce6f5743f7" /><Relationship Type="http://schemas.openxmlformats.org/officeDocument/2006/relationships/worksheet" Target="/xl/worksheets/sheet3.xml" Id="Rb86077bf0c014dce" /><Relationship Type="http://schemas.openxmlformats.org/officeDocument/2006/relationships/worksheet" Target="/xl/worksheets/sheet4.xml" Id="Rfb222cad609d4004" /><Relationship Type="http://schemas.openxmlformats.org/officeDocument/2006/relationships/worksheet" Target="/xl/worksheets/sheet5.xml" Id="R05a4bb39e3b343d9" /><Relationship Type="http://schemas.openxmlformats.org/officeDocument/2006/relationships/worksheet" Target="/xl/worksheets/sheet6.xml" Id="R122b4ee1f8c8485b" /><Relationship Type="http://schemas.openxmlformats.org/officeDocument/2006/relationships/worksheet" Target="/xl/worksheets/sheet7.xml" Id="Rf03709b404f549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4f5f26b0fc48e7" /><Relationship Type="http://schemas.openxmlformats.org/officeDocument/2006/relationships/chart" Target="/xl/drawings/charts/chart2.xml" Id="R993c672a7603456e" /><Relationship Type="http://schemas.openxmlformats.org/officeDocument/2006/relationships/chart" Target="/xl/drawings/charts/chart3.xml" Id="Re5592e64aa004d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Airport conversion vs. D7 repeat rate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Airport conversion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D7 repeat rate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'Dashboard'!$C$12:$C$14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Pickup reliability by zone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P90 pickup ETA (min)</c:v>
          </c:tx>
          <c:cat>
            <c:strRef>
              <c:f>'Dashboard'!$A$26:$A$29</c:f>
              <c:strCache>
                <c:ptCount val="0"/>
              </c:strCache>
            </c:strRef>
          </c:cat>
          <c:val>
            <c:numRef>
              <c:f>'Dashboard'!$B$26:$B$29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Largest quality issues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Affected trips</c:v>
          </c:tx>
          <c:cat>
            <c:strRef>
              <c:f>'Dashboard'!$M$12:$M$18</c:f>
              <c:strCache>
                <c:ptCount val="0"/>
              </c:strCache>
            </c:strRef>
          </c:cat>
          <c:val>
            <c:numRef>
              <c:f>'Dashboard'!$N$12:$N$18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4f5f26b0fc48e7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3c672a7603456e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592e64aa004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a8700a4fcf41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8" hidden="0" customWidth="1"/>
    <x:col min="14" max="14" width="16" hidden="0" customWidth="1"/>
    <x:col min="15" max="15" width="13" hidden="0" customWidth="1"/>
    <x:col min="16" max="16" width="13" hidden="0" customWidth="1"/>
  </x:cols>
  <x:sheetData>
    <x:row r="1" ht="30" customHeight="1">
      <x:c r="A1" s="337" t="str">
        <x:v>TPE Arrival to Local | Operations Dashboard</x:v>
      </x:c>
      <x:c r="B1" s="337"/>
      <x:c r="C1" s="337"/>
      <x:c r="D1" s="337"/>
      <x:c r="E1" s="337"/>
      <x:c r="F1" s="337"/>
      <x:c r="G1" s="337"/>
      <x:c r="H1" s="337"/>
      <x:c r="I1" s="337"/>
      <x:c r="J1" s="337"/>
      <x:c r="K1" s="337"/>
      <x:c r="L1" s="337"/>
      <x:c r="M1" s="337"/>
      <x:c r="N1" s="337"/>
      <x:c r="O1" s="337"/>
      <x:c r="P1" s="337"/>
    </x:row>
    <x:row r="2" ht="22" customHeight="1">
      <x:c r="A2" s="338" t="str">
        <x:v>Synthetic portfolio case | 2025-09-01 to 2025-10-26 | Decision: redesign rewards before scaling</x:v>
      </x:c>
      <x:c r="B2" s="338"/>
      <x:c r="C2" s="338"/>
      <x:c r="D2" s="338"/>
      <x:c r="E2" s="338"/>
      <x:c r="F2" s="338"/>
      <x:c r="G2" s="338"/>
      <x:c r="H2" s="338"/>
      <x:c r="I2" s="338"/>
      <x:c r="J2" s="338"/>
      <x:c r="K2" s="338"/>
      <x:c r="L2" s="338"/>
      <x:c r="M2" s="338"/>
      <x:c r="N2" s="338"/>
      <x:c r="O2" s="338"/>
      <x:c r="P2" s="338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</x:row>
    <x:row r="4">
      <x:c r="A4" s="282" t="str">
        <x:v>Airport 150 incremental conversion</x:v>
      </x:c>
      <x:c r="B4" s="283" t="str">
        <x:v>Airport 150 incremental conversion</x:v>
      </x:c>
      <x:c r="C4" s="284" t="str">
        <x:v>Airport 150 incremental conversion</x:v>
      </x:c>
      <x:c r="D4" s="285" t="str">
        <x:v>Bundle D7 repeat rate</x:v>
      </x:c>
      <x:c r="E4" s="286" t="str">
        <x:v>Bundle D7 repeat rate</x:v>
      </x:c>
      <x:c r="F4" s="287" t="str">
        <x:v>Bundle D7 repeat rate</x:v>
      </x:c>
      <x:c r="G4" s="288" t="str">
        <x:v>Airport 150 incremental contribution</x:v>
      </x:c>
      <x:c r="H4" s="289" t="str">
        <x:v>Airport 150 incremental contribution</x:v>
      </x:c>
      <x:c r="I4" s="290" t="str">
        <x:v>Airport 150 incremental contribution</x:v>
      </x:c>
      <x:c r="J4" s="291" t="str">
        <x:v>Valid trips after cleaning</x:v>
      </x:c>
      <x:c r="K4" s="292" t="str">
        <x:v>Valid trips after cleaning</x:v>
      </x:c>
      <x:c r="L4" s="293" t="str">
        <x:v>Valid trips after cleaning</x:v>
      </x:c>
      <x:c r="M4" s="294" t="str">
        <x:v>Campaign budget: alert_over_budget</x:v>
      </x:c>
      <x:c r="N4" s="295" t="str">
        <x:v>Campaign budget: alert_over_budget</x:v>
      </x:c>
      <x:c r="O4" s="296" t="str">
        <x:v>Campaign budget: alert_over_budget</x:v>
      </x:c>
      <x:c r="P4" s="281"/>
    </x:row>
    <x:row r="5">
      <x:c r="A5" s="297" t="n">
        <x:f>'Experiment'!H6</x:f>
        <x:v>0.08691832290347346</x:v>
      </x:c>
      <x:c r="B5" s="298"/>
      <x:c r="C5" s="299"/>
      <x:c r="D5" s="300" t="n">
        <x:f>'Experiment'!F7</x:f>
        <x:v>0.08290155440414508</x:v>
      </x:c>
      <x:c r="E5" s="301"/>
      <x:c r="F5" s="302"/>
      <x:c r="G5" s="303" t="n">
        <x:f>'Experiment'!L6</x:f>
        <x:v>-42479.63103953153</x:v>
      </x:c>
      <x:c r="H5" s="304"/>
      <x:c r="I5" s="305"/>
      <x:c r="J5" s="306" t="n">
        <x:f>'Data Quality'!C17</x:f>
        <x:v>48347</x:v>
      </x:c>
      <x:c r="K5" s="307"/>
      <x:c r="L5" s="308"/>
      <x:c r="M5" s="309" t="n">
        <x:f>'Budget'!F67</x:f>
        <x:v>1.3926666666666667</x:v>
      </x:c>
      <x:c r="N5" s="310"/>
      <x:c r="O5" s="311"/>
      <x:c r="P5" s="281"/>
    </x:row>
    <x:row r="6">
      <x:c r="A6" s="312"/>
      <x:c r="B6" s="313"/>
      <x:c r="C6" s="314"/>
      <x:c r="D6" s="315"/>
      <x:c r="E6" s="316"/>
      <x:c r="F6" s="317"/>
      <x:c r="G6" s="318"/>
      <x:c r="H6" s="319"/>
      <x:c r="I6" s="320"/>
      <x:c r="J6" s="321"/>
      <x:c r="K6" s="322"/>
      <x:c r="L6" s="323"/>
      <x:c r="M6" s="324"/>
      <x:c r="N6" s="325"/>
      <x:c r="O6" s="326"/>
      <x:c r="P6" s="281"/>
    </x:row>
    <x:row r="7">
      <x:c r="A7" s="281"/>
      <x:c r="B7" s="281"/>
      <x:c r="C7" s="281"/>
      <x:c r="D7" s="281"/>
      <x:c r="E7" s="281"/>
      <x:c r="F7" s="281"/>
      <x:c r="G7" s="281"/>
      <x:c r="H7" s="281"/>
      <x:c r="I7" s="281"/>
      <x:c r="J7" s="281"/>
      <x:c r="K7" s="281"/>
      <x:c r="L7" s="281"/>
      <x:c r="M7" s="281"/>
      <x:c r="N7" s="281"/>
      <x:c r="O7" s="281"/>
      <x:c r="P7" s="281"/>
    </x:row>
    <x:row r="8" ht="32" customHeight="1">
      <x:c r="A8" s="327" t="str">
        <x:v>Recommendation: keep a Control holdout; redesign the Bundle with partner co-funding or a lower second-trip reward. Do not scale during airport peak hours until pickup ETA and cancellation guardrails improve.</x:v>
      </x:c>
      <x:c r="B8" s="328"/>
      <x:c r="C8" s="328"/>
      <x:c r="D8" s="328"/>
      <x:c r="E8" s="328"/>
      <x:c r="F8" s="328"/>
      <x:c r="G8" s="328"/>
      <x:c r="H8" s="328"/>
      <x:c r="I8" s="328"/>
      <x:c r="J8" s="328"/>
      <x:c r="K8" s="328"/>
      <x:c r="L8" s="328"/>
      <x:c r="M8" s="328"/>
      <x:c r="N8" s="328"/>
      <x:c r="O8" s="328"/>
      <x:c r="P8" s="329"/>
    </x:row>
    <x:row r="9">
      <x:c r="A9" s="281"/>
      <x:c r="B9" s="281"/>
      <x:c r="C9" s="281"/>
      <x:c r="D9" s="281"/>
      <x:c r="E9" s="281"/>
      <x:c r="F9" s="281"/>
      <x:c r="G9" s="281"/>
      <x:c r="H9" s="281"/>
      <x:c r="I9" s="281"/>
      <x:c r="J9" s="281"/>
      <x:c r="K9" s="281"/>
      <x:c r="L9" s="281"/>
      <x:c r="M9" s="281"/>
      <x:c r="N9" s="281"/>
      <x:c r="O9" s="281"/>
      <x:c r="P9" s="281"/>
    </x:row>
    <x:row r="10">
      <x:c r="A10" s="281"/>
      <x:c r="B10" s="281"/>
      <x:c r="C10" s="281"/>
      <x:c r="D10" s="281"/>
      <x:c r="E10" s="281"/>
      <x:c r="F10" s="281"/>
      <x:c r="G10" s="281"/>
      <x:c r="H10" s="281"/>
      <x:c r="I10" s="281"/>
      <x:c r="J10" s="281"/>
      <x:c r="K10" s="281"/>
      <x:c r="L10" s="281"/>
      <x:c r="M10" s="281"/>
      <x:c r="N10" s="281"/>
      <x:c r="O10" s="281"/>
      <x:c r="P10" s="281"/>
    </x:row>
    <x:row r="11">
      <x:c r="A11" s="330" t="str">
        <x:v>Experiment arm</x:v>
      </x:c>
      <x:c r="B11" s="331" t="str">
        <x:v>Airport conversion</x:v>
      </x:c>
      <x:c r="C11" s="332" t="str">
        <x:v>D7 repeat rate</x:v>
      </x:c>
      <x:c r="D11" s="281"/>
      <x:c r="E11" s="281"/>
      <x:c r="F11" s="281"/>
      <x:c r="G11" s="281"/>
      <x:c r="H11" s="281"/>
      <x:c r="I11" s="281"/>
      <x:c r="J11" s="281"/>
      <x:c r="K11" s="281"/>
      <x:c r="L11" s="281"/>
      <x:c r="M11" s="330" t="str">
        <x:v>Data-quality issue</x:v>
      </x:c>
      <x:c r="N11" s="332" t="str">
        <x:v>Affected trips</x:v>
      </x:c>
      <x:c r="O11" s="281"/>
      <x:c r="P11" s="281"/>
    </x:row>
    <x:row r="12">
      <x:c r="A12" s="281" t="str">
        <x:f>'Experiment'!A5</x:f>
        <x:v>control</x:v>
      </x:c>
      <x:c r="B12" s="333" t="n">
        <x:f>'Experiment'!E5</x:f>
        <x:v>0.16398243045387995</x:v>
      </x:c>
      <x:c r="C12" s="333" t="n">
        <x:f>'Experiment'!F5</x:f>
        <x:v>0.027818448023426062</x:v>
      </x:c>
      <x:c r="D12" s="281"/>
      <x:c r="E12" s="281"/>
      <x:c r="F12" s="281"/>
      <x:c r="G12" s="281"/>
      <x:c r="H12" s="281"/>
      <x:c r="I12" s="281"/>
      <x:c r="J12" s="281"/>
      <x:c r="K12" s="281"/>
      <x:c r="L12" s="281"/>
      <x:c r="M12" s="281" t="str">
        <x:f>'Data Quality'!A5</x:f>
        <x:v>future_or_unparseable_event_time</x:v>
      </x:c>
      <x:c r="N12" s="334" t="n">
        <x:f>'Data Quality'!E5</x:f>
        <x:v>1968</x:v>
      </x:c>
      <x:c r="O12" s="281"/>
      <x:c r="P12" s="281"/>
    </x:row>
    <x:row r="13">
      <x:c r="A13" s="281" t="str">
        <x:f>'Experiment'!A6</x:f>
        <x:v>airport_150</x:v>
      </x:c>
      <x:c r="B13" s="333" t="n">
        <x:f>'Experiment'!E6</x:f>
        <x:v>0.2509007533573534</x:v>
      </x:c>
      <x:c r="C13" s="333" t="n">
        <x:f>'Experiment'!F6</x:f>
        <x:v>0.04978709466098919</x:v>
      </x:c>
      <x:c r="D13" s="281"/>
      <x:c r="E13" s="281"/>
      <x:c r="F13" s="281"/>
      <x:c r="G13" s="281"/>
      <x:c r="H13" s="281"/>
      <x:c r="I13" s="281"/>
      <x:c r="J13" s="281"/>
      <x:c r="K13" s="281"/>
      <x:c r="L13" s="281"/>
      <x:c r="M13" s="281" t="str">
        <x:f>'Data Quality'!A6</x:f>
        <x:v>non_monotonic_event_steps</x:v>
      </x:c>
      <x:c r="N13" s="334" t="n">
        <x:f>'Data Quality'!E6</x:f>
        <x:v>1819</x:v>
      </x:c>
      <x:c r="O13" s="281"/>
      <x:c r="P13" s="281"/>
    </x:row>
    <x:row r="14">
      <x:c r="A14" s="281" t="str">
        <x:f>'Experiment'!A7</x:f>
        <x:v>bundle_100_100</x:v>
      </x:c>
      <x:c r="B14" s="333" t="n">
        <x:f>'Experiment'!E7</x:f>
        <x:v>0.234779792746114</x:v>
      </x:c>
      <x:c r="C14" s="333" t="n">
        <x:f>'Experiment'!F7</x:f>
        <x:v>0.08290155440414508</x:v>
      </x:c>
      <x:c r="D14" s="281"/>
      <x:c r="E14" s="281"/>
      <x:c r="F14" s="281"/>
      <x:c r="G14" s="281"/>
      <x:c r="H14" s="281"/>
      <x:c r="I14" s="281"/>
      <x:c r="J14" s="281"/>
      <x:c r="K14" s="281"/>
      <x:c r="L14" s="281"/>
      <x:c r="M14" s="281" t="str">
        <x:f>'Data Quality'!A7</x:f>
        <x:v>invalid_event_sequence</x:v>
      </x:c>
      <x:c r="N14" s="334" t="n">
        <x:f>'Data Quality'!E7</x:f>
        <x:v>1424</x:v>
      </x:c>
      <x:c r="O14" s="281"/>
      <x:c r="P14" s="281"/>
    </x:row>
    <x:row r="15">
      <x:c r="A15" s="281"/>
      <x:c r="B15" s="281"/>
      <x:c r="C15" s="281"/>
      <x:c r="D15" s="281"/>
      <x:c r="E15" s="281"/>
      <x:c r="F15" s="281"/>
      <x:c r="G15" s="281"/>
      <x:c r="H15" s="281"/>
      <x:c r="I15" s="281"/>
      <x:c r="J15" s="281"/>
      <x:c r="K15" s="281"/>
      <x:c r="L15" s="281"/>
      <x:c r="M15" s="281" t="str">
        <x:f>'Data Quality'!A8</x:f>
        <x:v>invalid_coordinates</x:v>
      </x:c>
      <x:c r="N15" s="334" t="n">
        <x:f>'Data Quality'!E8</x:f>
        <x:v>513</x:v>
      </x:c>
      <x:c r="O15" s="281"/>
      <x:c r="P15" s="281"/>
    </x:row>
    <x:row r="16">
      <x:c r="A16" s="281"/>
      <x:c r="B16" s="281"/>
      <x:c r="C16" s="281"/>
      <x:c r="D16" s="281"/>
      <x:c r="E16" s="281"/>
      <x:c r="F16" s="281"/>
      <x:c r="G16" s="281"/>
      <x:c r="H16" s="281"/>
      <x:c r="I16" s="281"/>
      <x:c r="J16" s="281"/>
      <x:c r="K16" s="281"/>
      <x:c r="L16" s="281"/>
      <x:c r="M16" s="281" t="str">
        <x:f>'Data Quality'!A9</x:f>
        <x:v>payment_exceeds_gross_fare</x:v>
      </x:c>
      <x:c r="N16" s="334" t="n">
        <x:f>'Data Quality'!E9</x:f>
        <x:v>304</x:v>
      </x:c>
      <x:c r="O16" s="281"/>
      <x:c r="P16" s="281"/>
    </x:row>
    <x:row r="17">
      <x:c r="A17" s="281"/>
      <x:c r="B17" s="281"/>
      <x:c r="C17" s="281"/>
      <x:c r="D17" s="281"/>
      <x:c r="E17" s="281"/>
      <x:c r="F17" s="281"/>
      <x:c r="G17" s="281"/>
      <x:c r="H17" s="281"/>
      <x:c r="I17" s="281"/>
      <x:c r="J17" s="281"/>
      <x:c r="K17" s="281"/>
      <x:c r="L17" s="281"/>
      <x:c r="M17" s="281" t="str">
        <x:f>'Data Quality'!A10</x:f>
        <x:v>negative_fare</x:v>
      </x:c>
      <x:c r="N17" s="334" t="n">
        <x:f>'Data Quality'!E10</x:f>
        <x:v>178</x:v>
      </x:c>
      <x:c r="O17" s="281"/>
      <x:c r="P17" s="281"/>
    </x:row>
    <x:row r="18">
      <x:c r="A18" s="281"/>
      <x:c r="B18" s="281"/>
      <x:c r="C18" s="281"/>
      <x:c r="D18" s="281"/>
      <x:c r="E18" s="281"/>
      <x:c r="F18" s="281"/>
      <x:c r="G18" s="281"/>
      <x:c r="H18" s="281"/>
      <x:c r="I18" s="281"/>
      <x:c r="J18" s="281"/>
      <x:c r="K18" s="281"/>
      <x:c r="L18" s="281"/>
      <x:c r="M18" s="281" t="str">
        <x:f>'Data Quality'!A11</x:f>
        <x:v>orphan_user</x:v>
      </x:c>
      <x:c r="N18" s="334" t="n">
        <x:f>'Data Quality'!E11</x:f>
        <x:v>104</x:v>
      </x:c>
      <x:c r="O18" s="281"/>
      <x:c r="P18" s="281"/>
    </x:row>
    <x:row r="19">
      <x:c r="A19" s="281"/>
      <x:c r="B19" s="281"/>
      <x:c r="C19" s="281"/>
      <x:c r="D19" s="281"/>
      <x:c r="E19" s="281"/>
      <x:c r="F19" s="281"/>
      <x:c r="G19" s="281"/>
      <x:c r="H19" s="281"/>
      <x:c r="I19" s="281"/>
      <x:c r="J19" s="281"/>
      <x:c r="K19" s="281"/>
      <x:c r="L19" s="281"/>
      <x:c r="M19" s="281"/>
      <x:c r="N19" s="281"/>
      <x:c r="O19" s="281"/>
      <x:c r="P19" s="281"/>
    </x:row>
    <x:row r="20">
      <x:c r="A20" s="281"/>
      <x:c r="B20" s="281"/>
      <x:c r="C20" s="281"/>
      <x:c r="D20" s="281"/>
      <x:c r="E20" s="281"/>
      <x:c r="F20" s="281"/>
      <x:c r="G20" s="281"/>
      <x:c r="H20" s="281"/>
      <x:c r="I20" s="281"/>
      <x:c r="J20" s="281"/>
      <x:c r="K20" s="281"/>
      <x:c r="L20" s="281"/>
      <x:c r="M20" s="281"/>
      <x:c r="N20" s="281"/>
      <x:c r="O20" s="281"/>
      <x:c r="P20" s="281"/>
    </x:row>
    <x:row r="21">
      <x:c r="A21" s="281"/>
      <x:c r="B21" s="281"/>
      <x:c r="C21" s="281"/>
      <x:c r="D21" s="281"/>
      <x:c r="E21" s="281"/>
      <x:c r="F21" s="281"/>
      <x:c r="G21" s="281"/>
      <x:c r="H21" s="281"/>
      <x:c r="I21" s="281"/>
      <x:c r="J21" s="281"/>
      <x:c r="K21" s="281"/>
      <x:c r="L21" s="281"/>
      <x:c r="M21" s="281"/>
      <x:c r="N21" s="281"/>
      <x:c r="O21" s="281"/>
      <x:c r="P21" s="281"/>
    </x:row>
    <x:row r="22">
      <x:c r="A22" s="281"/>
      <x:c r="B22" s="281"/>
      <x:c r="C22" s="281"/>
      <x:c r="D22" s="281"/>
      <x:c r="E22" s="281"/>
      <x:c r="F22" s="281"/>
      <x:c r="G22" s="281"/>
      <x:c r="H22" s="281"/>
      <x:c r="I22" s="281"/>
      <x:c r="J22" s="281"/>
      <x:c r="K22" s="281"/>
      <x:c r="L22" s="281"/>
      <x:c r="M22" s="281"/>
      <x:c r="N22" s="281"/>
      <x:c r="O22" s="281"/>
      <x:c r="P22" s="281"/>
    </x:row>
    <x:row r="23">
      <x:c r="A23" s="281"/>
      <x:c r="B23" s="281"/>
      <x:c r="C23" s="281"/>
      <x:c r="D23" s="281"/>
      <x:c r="E23" s="281"/>
      <x:c r="F23" s="281"/>
      <x:c r="G23" s="281"/>
      <x:c r="H23" s="281"/>
      <x:c r="I23" s="281"/>
      <x:c r="J23" s="281"/>
      <x:c r="K23" s="281"/>
      <x:c r="L23" s="281"/>
      <x:c r="M23" s="281"/>
      <x:c r="N23" s="281"/>
      <x:c r="O23" s="281"/>
      <x:c r="P23" s="281"/>
    </x:row>
    <x:row r="24">
      <x:c r="A24" s="281"/>
      <x:c r="B24" s="281"/>
      <x:c r="C24" s="281"/>
      <x:c r="D24" s="281"/>
      <x:c r="E24" s="281"/>
      <x:c r="F24" s="281"/>
      <x:c r="G24" s="281"/>
      <x:c r="H24" s="281"/>
      <x:c r="I24" s="281"/>
      <x:c r="J24" s="281"/>
      <x:c r="K24" s="281"/>
      <x:c r="L24" s="281"/>
      <x:c r="M24" s="281"/>
      <x:c r="N24" s="281"/>
      <x:c r="O24" s="281"/>
      <x:c r="P24" s="281"/>
    </x:row>
    <x:row r="25">
      <x:c r="A25" s="330" t="str">
        <x:v>Service zone</x:v>
      </x:c>
      <x:c r="B25" s="332" t="str">
        <x:v>P90 pickup ETA (min)</x:v>
      </x:c>
      <x:c r="C25" s="281"/>
      <x:c r="D25" s="281"/>
      <x:c r="E25" s="281"/>
      <x:c r="F25" s="281"/>
      <x:c r="G25" s="281"/>
      <x:c r="H25" s="281"/>
      <x:c r="I25" s="281"/>
      <x:c r="J25" s="281"/>
      <x:c r="K25" s="281"/>
      <x:c r="L25" s="281"/>
      <x:c r="M25" s="281"/>
      <x:c r="N25" s="281"/>
      <x:c r="O25" s="281"/>
      <x:c r="P25" s="281"/>
    </x:row>
    <x:row r="26">
      <x:c r="A26" s="281" t="str">
        <x:f>'Marketplace'!A5</x:f>
        <x:v>TPE_AIRPORT</x:v>
      </x:c>
      <x:c r="B26" s="335" t="n">
        <x:f>'Marketplace'!E5</x:f>
        <x:v>21.2</x:v>
      </x:c>
      <x:c r="C26" s="281"/>
      <x:c r="D26" s="281"/>
      <x:c r="E26" s="281"/>
      <x:c r="F26" s="281"/>
      <x:c r="G26" s="281"/>
      <x:c r="H26" s="281"/>
      <x:c r="I26" s="281"/>
      <x:c r="J26" s="281"/>
      <x:c r="K26" s="281"/>
      <x:c r="L26" s="281"/>
      <x:c r="M26" s="281"/>
      <x:c r="N26" s="281"/>
      <x:c r="O26" s="281"/>
      <x:c r="P26" s="281"/>
    </x:row>
    <x:row r="27">
      <x:c r="A27" s="281" t="str">
        <x:f>'Marketplace'!A6</x:f>
        <x:v>TAIPEI_MAIN</x:v>
      </x:c>
      <x:c r="B27" s="335" t="n">
        <x:f>'Marketplace'!E6</x:f>
        <x:v>20.6</x:v>
      </x:c>
      <x:c r="C27" s="281"/>
      <x:c r="D27" s="281"/>
      <x:c r="E27" s="281"/>
      <x:c r="F27" s="281"/>
      <x:c r="G27" s="281"/>
      <x:c r="H27" s="281"/>
      <x:c r="I27" s="281"/>
      <x:c r="J27" s="281"/>
      <x:c r="K27" s="281"/>
      <x:c r="L27" s="281"/>
      <x:c r="M27" s="281"/>
      <x:c r="N27" s="281"/>
      <x:c r="O27" s="281"/>
      <x:c r="P27" s="281"/>
    </x:row>
    <x:row r="28">
      <x:c r="A28" s="281" t="str">
        <x:f>'Marketplace'!A7</x:f>
        <x:v>TAIPEI_101</x:v>
      </x:c>
      <x:c r="B28" s="335" t="n">
        <x:f>'Marketplace'!E7</x:f>
        <x:v>20.5</x:v>
      </x:c>
      <x:c r="C28" s="281"/>
      <x:c r="D28" s="281"/>
      <x:c r="E28" s="281"/>
      <x:c r="F28" s="281"/>
      <x:c r="G28" s="281"/>
      <x:c r="H28" s="281"/>
      <x:c r="I28" s="281"/>
      <x:c r="J28" s="281"/>
      <x:c r="K28" s="281"/>
      <x:c r="L28" s="281"/>
      <x:c r="M28" s="281"/>
      <x:c r="N28" s="281"/>
      <x:c r="O28" s="281"/>
      <x:c r="P28" s="281"/>
    </x:row>
    <x:row r="29">
      <x:c r="A29" s="281" t="str">
        <x:f>'Marketplace'!A8</x:f>
        <x:v>XIMENDING</x:v>
      </x:c>
      <x:c r="B29" s="335" t="n">
        <x:f>'Marketplace'!E8</x:f>
        <x:v>20.900000000000002</x:v>
      </x:c>
      <x:c r="C29" s="281"/>
      <x:c r="D29" s="281"/>
      <x:c r="E29" s="281"/>
      <x:c r="F29" s="281"/>
      <x:c r="G29" s="281"/>
      <x:c r="H29" s="281"/>
      <x:c r="I29" s="281"/>
      <x:c r="J29" s="281"/>
      <x:c r="K29" s="281"/>
      <x:c r="L29" s="281"/>
      <x:c r="M29" s="281"/>
      <x:c r="N29" s="281"/>
      <x:c r="O29" s="281"/>
      <x:c r="P29" s="281"/>
    </x:row>
    <x:row r="30">
      <x:c r="A30" s="281"/>
      <x:c r="B30" s="281"/>
      <x:c r="C30" s="281"/>
      <x:c r="D30" s="281"/>
      <x:c r="E30" s="281"/>
      <x:c r="F30" s="281"/>
      <x:c r="G30" s="281"/>
      <x:c r="H30" s="281"/>
      <x:c r="I30" s="281"/>
      <x:c r="J30" s="281"/>
      <x:c r="K30" s="281"/>
      <x:c r="L30" s="281"/>
      <x:c r="M30" s="281"/>
      <x:c r="N30" s="281"/>
      <x:c r="O30" s="281"/>
      <x:c r="P30" s="281"/>
    </x:row>
    <x:row r="31">
      <x:c r="A31" s="281"/>
      <x:c r="B31" s="281"/>
      <x:c r="C31" s="281"/>
      <x:c r="D31" s="281"/>
      <x:c r="E31" s="281"/>
      <x:c r="F31" s="281"/>
      <x:c r="G31" s="281"/>
      <x:c r="H31" s="281"/>
      <x:c r="I31" s="281"/>
      <x:c r="J31" s="281"/>
      <x:c r="K31" s="281"/>
      <x:c r="L31" s="281"/>
      <x:c r="M31" s="281"/>
      <x:c r="N31" s="281"/>
      <x:c r="O31" s="281"/>
      <x:c r="P31" s="281"/>
    </x:row>
    <x:row r="32">
      <x:c r="A32" s="281"/>
      <x:c r="B32" s="281"/>
      <x:c r="C32" s="281"/>
      <x:c r="D32" s="281"/>
      <x:c r="E32" s="281"/>
      <x:c r="F32" s="281"/>
      <x:c r="G32" s="281"/>
      <x:c r="H32" s="281"/>
      <x:c r="I32" s="281"/>
      <x:c r="J32" s="281"/>
      <x:c r="K32" s="281"/>
      <x:c r="L32" s="281"/>
      <x:c r="M32" s="281"/>
      <x:c r="N32" s="281"/>
      <x:c r="O32" s="281"/>
      <x:c r="P32" s="281"/>
    </x:row>
    <x:row r="33">
      <x:c r="A33" s="281"/>
      <x:c r="B33" s="281"/>
      <x:c r="C33" s="281"/>
      <x:c r="D33" s="281"/>
      <x:c r="E33" s="281"/>
      <x:c r="F33" s="281"/>
      <x:c r="G33" s="281"/>
      <x:c r="H33" s="281"/>
      <x:c r="I33" s="281"/>
      <x:c r="J33" s="281"/>
      <x:c r="K33" s="281"/>
      <x:c r="L33" s="281"/>
      <x:c r="M33" s="281"/>
      <x:c r="N33" s="281"/>
      <x:c r="O33" s="281"/>
      <x:c r="P33" s="281"/>
    </x:row>
    <x:row r="34">
      <x:c r="A34" s="281"/>
      <x:c r="B34" s="281"/>
      <x:c r="C34" s="281"/>
      <x:c r="D34" s="281"/>
      <x:c r="E34" s="281"/>
      <x:c r="F34" s="281"/>
      <x:c r="G34" s="281"/>
      <x:c r="H34" s="281"/>
      <x:c r="I34" s="281"/>
      <x:c r="J34" s="281"/>
      <x:c r="K34" s="281"/>
      <x:c r="L34" s="281"/>
      <x:c r="M34" s="281"/>
      <x:c r="N34" s="281"/>
      <x:c r="O34" s="281"/>
      <x:c r="P34" s="281"/>
    </x:row>
    <x:row r="35">
      <x:c r="A35" s="281"/>
      <x:c r="B35" s="281"/>
      <x:c r="C35" s="281"/>
      <x:c r="D35" s="281"/>
      <x:c r="E35" s="281"/>
      <x:c r="F35" s="281"/>
      <x:c r="G35" s="281"/>
      <x:c r="H35" s="281"/>
      <x:c r="I35" s="281"/>
      <x:c r="J35" s="281"/>
      <x:c r="K35" s="281"/>
      <x:c r="L35" s="281"/>
      <x:c r="M35" s="281"/>
      <x:c r="N35" s="281"/>
      <x:c r="O35" s="281"/>
      <x:c r="P35" s="281"/>
    </x:row>
    <x:row r="36">
      <x:c r="A36" s="281"/>
      <x:c r="B36" s="281"/>
      <x:c r="C36" s="281"/>
      <x:c r="D36" s="281"/>
      <x:c r="E36" s="281"/>
      <x:c r="F36" s="281"/>
      <x:c r="G36" s="281"/>
      <x:c r="H36" s="281"/>
      <x:c r="I36" s="281"/>
      <x:c r="J36" s="281"/>
      <x:c r="K36" s="281"/>
      <x:c r="L36" s="281"/>
      <x:c r="M36" s="281"/>
      <x:c r="N36" s="281"/>
      <x:c r="O36" s="281"/>
      <x:c r="P36" s="281"/>
    </x:row>
    <x:row r="37">
      <x:c r="A37" s="281"/>
      <x:c r="B37" s="281"/>
      <x:c r="C37" s="281"/>
      <x:c r="D37" s="281"/>
      <x:c r="E37" s="281"/>
      <x:c r="F37" s="281"/>
      <x:c r="G37" s="281"/>
      <x:c r="H37" s="281"/>
      <x:c r="I37" s="281"/>
      <x:c r="J37" s="281"/>
      <x:c r="K37" s="281"/>
      <x:c r="L37" s="281"/>
      <x:c r="M37" s="281"/>
      <x:c r="N37" s="281"/>
      <x:c r="O37" s="281"/>
      <x:c r="P37" s="281"/>
    </x:row>
    <x:row r="38">
      <x:c r="A38" s="281"/>
      <x:c r="B38" s="281"/>
      <x:c r="C38" s="281"/>
      <x:c r="D38" s="281"/>
      <x:c r="E38" s="281"/>
      <x:c r="F38" s="281"/>
      <x:c r="G38" s="281"/>
      <x:c r="H38" s="281"/>
      <x:c r="I38" s="281"/>
      <x:c r="J38" s="281"/>
      <x:c r="K38" s="281"/>
      <x:c r="L38" s="281"/>
      <x:c r="M38" s="281"/>
      <x:c r="N38" s="281"/>
      <x:c r="O38" s="281"/>
      <x:c r="P38" s="281"/>
    </x:row>
    <x:row r="39">
      <x:c r="A39" s="281"/>
      <x:c r="B39" s="281"/>
      <x:c r="C39" s="281"/>
      <x:c r="D39" s="281"/>
      <x:c r="E39" s="281"/>
      <x:c r="F39" s="281"/>
      <x:c r="G39" s="281"/>
      <x:c r="H39" s="281"/>
      <x:c r="I39" s="281"/>
      <x:c r="J39" s="281"/>
      <x:c r="K39" s="281"/>
      <x:c r="L39" s="281"/>
      <x:c r="M39" s="281"/>
      <x:c r="N39" s="281"/>
      <x:c r="O39" s="281"/>
      <x:c r="P39" s="281"/>
    </x:row>
    <x:row r="40">
      <x:c r="A40" s="336" t="str">
        <x:v>Sources: Synthetic operations data generated by this repository; Taiwan Tourism Administration and Taoyuan Airport public context links are recorded in the Notes tab and docs/sources.md. Currency: TWD.</x:v>
      </x:c>
      <x:c r="B40" s="336"/>
      <x:c r="C40" s="336"/>
      <x:c r="D40" s="336"/>
      <x:c r="E40" s="336"/>
      <x:c r="F40" s="336"/>
      <x:c r="G40" s="336"/>
      <x:c r="H40" s="336"/>
      <x:c r="I40" s="336"/>
      <x:c r="J40" s="336"/>
      <x:c r="K40" s="336"/>
      <x:c r="L40" s="336"/>
      <x:c r="M40" s="336"/>
      <x:c r="N40" s="336"/>
      <x:c r="O40" s="336"/>
      <x:c r="P40" s="336"/>
    </x:row>
    <x:row r="41">
      <x:c r="A41" s="336"/>
      <x:c r="B41" s="336"/>
      <x:c r="C41" s="336"/>
      <x:c r="D41" s="336"/>
      <x:c r="E41" s="336"/>
      <x:c r="F41" s="336"/>
      <x:c r="G41" s="336"/>
      <x:c r="H41" s="336"/>
      <x:c r="I41" s="336"/>
      <x:c r="J41" s="336"/>
      <x:c r="K41" s="336"/>
      <x:c r="L41" s="336"/>
      <x:c r="M41" s="336"/>
      <x:c r="N41" s="336"/>
      <x:c r="O41" s="336"/>
      <x:c r="P41" s="336"/>
    </x:row>
  </x:sheetData>
  <x:mergeCells>
    <x:mergeCell ref="A1:P1"/>
    <x:mergeCell ref="A2:P2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  <x:mergeCell ref="A8:P8"/>
    <x:mergeCell ref="A40:P41"/>
  </x:mergeCells>
  <x:pageMargins left="0.7" right="0.7" top="0.75" bottom="0.75" header="0.3" footer="0.3"/>
  <x:drawing xmlns:r="http://schemas.openxmlformats.org/officeDocument/2006/relationships" r:id="Rf4a8700a4fcf419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1.75" hidden="0" customWidth="1"/>
    <x:col min="3" max="3" width="14.5" hidden="0" customWidth="1"/>
    <x:col min="4" max="4" width="8" hidden="0" customWidth="1"/>
    <x:col min="5" max="5" width="14.75" hidden="0" customWidth="1"/>
    <x:col min="6" max="6" width="11.5" hidden="0" customWidth="1"/>
    <x:col min="7" max="7" width="9.880000114440918" hidden="0" customWidth="1"/>
    <x:col min="8" max="8" width="18.3799991607666" hidden="0" customWidth="1"/>
    <x:col min="9" max="9" width="8.880000114440918" hidden="0" customWidth="1"/>
    <x:col min="10" max="10" width="9.380000114440918" hidden="0" customWidth="1"/>
    <x:col min="11" max="11" width="13.630000114440918" hidden="0" customWidth="1"/>
    <x:col min="12" max="12" width="19.6299991607666" hidden="0" customWidth="1"/>
    <x:col min="13" max="13" width="17.75" hidden="0" customWidth="1"/>
    <x:col min="14" max="14" width="24" hidden="0" customWidth="1"/>
  </x:cols>
  <x:sheetData>
    <x:row r="1" ht="30" customHeight="1">
      <x:c r="A1" s="4" t="str">
        <x:v>Campaign Experiment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7" t="str">
        <x:v>Intent-to-treat results. Currency in TWD; conversion and repeat metrics use assigned users as denominator.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15" hidden="0" customHeight="1">
      <x:c r="A4" s="19" t="str">
        <x:v>Experiment arm</x:v>
      </x:c>
      <x:c r="B4" s="20" t="str">
        <x:v>Assigned users</x:v>
      </x:c>
      <x:c r="C4" s="20" t="str">
        <x:v>Airport completed</x:v>
      </x:c>
      <x:c r="D4" s="20" t="str">
        <x:v>D7 repeat</x:v>
      </x:c>
      <x:c r="E4" s="20" t="str">
        <x:v>Airport conversion</x:v>
      </x:c>
      <x:c r="F4" s="20" t="str">
        <x:v>D7 repeat rate</x:v>
      </x:c>
      <x:c r="G4" s="20" t="str">
        <x:v>Reward cost</x:v>
      </x:c>
      <x:c r="H4" s="20" t="str">
        <x:v>Incremental conversion</x:v>
      </x:c>
      <x:c r="I4" s="20" t="str">
        <x:v>95% CI low</x:v>
      </x:c>
      <x:c r="J4" s="20" t="str">
        <x:v>95% CI high</x:v>
      </x:c>
      <x:c r="K4" s="20" t="str">
        <x:v>Incremental trips</x:v>
      </x:c>
      <x:c r="L4" s="20" t="str">
        <x:v>Incremental contribution</x:v>
      </x:c>
      <x:c r="M4" s="20" t="str">
        <x:v>Cost / incremental trip</x:v>
      </x:c>
      <x:c r="N4" s="21" t="str">
        <x:v>Decision</x:v>
      </x:c>
    </x:row>
    <x:row r="5" ht="15" hidden="0" customHeight="1">
      <x:c r="A5" s="31" t="str">
        <x:v>control</x:v>
      </x:c>
      <x:c r="B5" s="40" t="n">
        <x:v>683</x:v>
      </x:c>
      <x:c r="C5" s="40" t="n">
        <x:v>112</x:v>
      </x:c>
      <x:c r="D5" s="40" t="n">
        <x:v>19</x:v>
      </x:c>
      <x:c r="E5" s="43" t="n">
        <x:v>0.16398243045387995</x:v>
      </x:c>
      <x:c r="F5" s="43" t="n">
        <x:v>0.027818448023426062</x:v>
      </x:c>
      <x:c r="G5" s="46" t="n">
        <x:v>0</x:v>
      </x:c>
      <x:c r="H5" s="43" t="n">
        <x:v>0</x:v>
      </x:c>
      <x:c r="I5" s="43" t="n">
        <x:v>-0.039270558621057765</x:v>
      </x:c>
      <x:c r="J5" s="43" t="n">
        <x:v>0.039270558621057765</x:v>
      </x:c>
      <x:c r="K5" s="49" t="n">
        <x:v>0</x:v>
      </x:c>
      <x:c r="L5" s="46" t="n">
        <x:v>0</x:v>
      </x:c>
      <x:c r="M5" s="46"/>
      <x:c r="N5" s="33" t="str">
        <x:v>baseline</x:v>
      </x:c>
    </x:row>
    <x:row r="6" ht="15" hidden="0" customHeight="1">
      <x:c r="A6" s="34" t="str">
        <x:v>airport_150</x:v>
      </x:c>
      <x:c r="B6" s="41" t="n">
        <x:v>3053</x:v>
      </x:c>
      <x:c r="C6" s="41" t="n">
        <x:v>766</x:v>
      </x:c>
      <x:c r="D6" s="41" t="n">
        <x:v>152</x:v>
      </x:c>
      <x:c r="E6" s="44" t="n">
        <x:v>0.2509007533573534</x:v>
      </x:c>
      <x:c r="F6" s="44" t="n">
        <x:v>0.04978709466098919</x:v>
      </x:c>
      <x:c r="G6" s="47" t="n">
        <x:v>112500</x:v>
      </x:c>
      <x:c r="H6" s="44" t="n">
        <x:v>0.08691832290347346</x:v>
      </x:c>
      <x:c r="I6" s="44" t="n">
        <x:v>0.05517582856184206</x:v>
      </x:c>
      <x:c r="J6" s="44" t="n">
        <x:v>0.11866081724510485</x:v>
      </x:c>
      <x:c r="K6" s="50" t="n">
        <x:v>265.36163982430446</x:v>
      </x:c>
      <x:c r="L6" s="47" t="n">
        <x:v>-42479.63103953153</x:v>
      </x:c>
      <x:c r="M6" s="47" t="n">
        <x:v>423.94974674744276</x:v>
      </x:c>
      <x:c r="N6" s="36" t="str">
        <x:v>hold_or_redesign</x:v>
      </x:c>
    </x:row>
    <x:row r="7" ht="15" hidden="0" customHeight="1">
      <x:c r="A7" s="37" t="str">
        <x:v>bundle_100_100</x:v>
      </x:c>
      <x:c r="B7" s="42" t="n">
        <x:v>3088</x:v>
      </x:c>
      <x:c r="C7" s="42" t="n">
        <x:v>725</x:v>
      </x:c>
      <x:c r="D7" s="42" t="n">
        <x:v>256</x:v>
      </x:c>
      <x:c r="E7" s="45" t="n">
        <x:v>0.234779792746114</x:v>
      </x:c>
      <x:c r="F7" s="45" t="n">
        <x:v>0.08290155440414508</x:v>
      </x:c>
      <x:c r="G7" s="48" t="n">
        <x:v>96400</x:v>
      </x:c>
      <x:c r="H7" s="45" t="n">
        <x:v>0.07079736229223405</x:v>
      </x:c>
      <x:c r="I7" s="45" t="n">
        <x:v>0.039260230418695086</x:v>
      </x:c>
      <x:c r="J7" s="45" t="n">
        <x:v>0.102334494165773</x:v>
      </x:c>
      <x:c r="K7" s="51" t="n">
        <x:v>218.62225475841873</x:v>
      </x:c>
      <x:c r="L7" s="48" t="n">
        <x:v>-25592.292679355764</x:v>
      </x:c>
      <x:c r="M7" s="48" t="n">
        <x:v>440.94321553184795</x:v>
      </x:c>
      <x:c r="N7" s="39" t="str">
        <x:v>hold_or_redesign</x:v>
      </x:c>
    </x:row>
  </x:sheetData>
  <x:mergeCells>
    <x:mergeCell ref="A1:P1"/>
    <x:mergeCell ref="A2:P2"/>
  </x:mergeCells>
  <x:conditionalFormatting sqref="N5:N7">
    <x:cfRule type="containsText" dxfId="0" priority="1" operator="containsText" text="candidate"/>
    <x:cfRule type="containsText" dxfId="1" priority="2" operator="containsText" text="hol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7.380000114440918" hidden="0" customWidth="1"/>
    <x:col min="3" max="3" width="7.880000114440918" hidden="0" customWidth="1"/>
    <x:col min="4" max="4" width="10.380000114440918" hidden="0" customWidth="1"/>
    <x:col min="5" max="5" width="9.75" hidden="0" customWidth="1"/>
    <x:col min="6" max="6" width="14.130000114440918" hidden="0" customWidth="1"/>
    <x:col min="7" max="7" width="14.5" hidden="0" customWidth="1"/>
    <x:col min="8" max="8" width="8" hidden="0" customWidth="1"/>
    <x:col min="9" max="9" width="15.130000114440918" hidden="0" customWidth="1"/>
  </x:cols>
  <x:sheetData>
    <x:row r="1" ht="30" customHeight="1">
      <x:c r="A1" s="4" t="str">
        <x:v>Campaign Funnel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7" t="str">
        <x:v>Only users in the cleaned, CRM-consented campaign cohort are included.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9" t="str">
        <x:v>Experiment arm</x:v>
      </x:c>
      <x:c r="B4" s="20" t="str">
        <x:v>Assigned</x:v>
      </x:c>
      <x:c r="C4" s="20" t="str">
        <x:v>CRM sent</x:v>
      </x:c>
      <x:c r="D4" s="20" t="str">
        <x:v>CRM opened</x:v>
      </x:c>
      <x:c r="E4" s="20" t="str">
        <x:v>CRM clicked</x:v>
      </x:c>
      <x:c r="F4" s="20" t="str">
        <x:v>Airport requested</x:v>
      </x:c>
      <x:c r="G4" s="20" t="str">
        <x:v>Airport completed</x:v>
      </x:c>
      <x:c r="H4" s="20" t="str">
        <x:v>D7 repeat</x:v>
      </x:c>
      <x:c r="I4" s="21" t="str">
        <x:v>Reward cost (TWD)</x:v>
      </x:c>
    </x:row>
    <x:row r="5">
      <x:c r="A5" s="31" t="str">
        <x:v>control</x:v>
      </x:c>
      <x:c r="B5" s="40" t="n">
        <x:v>683</x:v>
      </x:c>
      <x:c r="C5" s="40" t="n">
        <x:v>683</x:v>
      </x:c>
      <x:c r="D5" s="40" t="n">
        <x:v>335</x:v>
      </x:c>
      <x:c r="E5" s="40" t="n">
        <x:v>134</x:v>
      </x:c>
      <x:c r="F5" s="40" t="n">
        <x:v>130</x:v>
      </x:c>
      <x:c r="G5" s="40" t="n">
        <x:v>112</x:v>
      </x:c>
      <x:c r="H5" s="40" t="n">
        <x:v>19</x:v>
      </x:c>
      <x:c r="I5" s="52" t="n">
        <x:v>0</x:v>
      </x:c>
    </x:row>
    <x:row r="6">
      <x:c r="A6" s="34" t="str">
        <x:v>airport_150</x:v>
      </x:c>
      <x:c r="B6" s="41" t="n">
        <x:v>3053</x:v>
      </x:c>
      <x:c r="C6" s="41" t="n">
        <x:v>3053</x:v>
      </x:c>
      <x:c r="D6" s="41" t="n">
        <x:v>1501</x:v>
      </x:c>
      <x:c r="E6" s="41" t="n">
        <x:v>663</x:v>
      </x:c>
      <x:c r="F6" s="41" t="n">
        <x:v>862</x:v>
      </x:c>
      <x:c r="G6" s="41" t="n">
        <x:v>766</x:v>
      </x:c>
      <x:c r="H6" s="41" t="n">
        <x:v>152</x:v>
      </x:c>
      <x:c r="I6" s="53" t="n">
        <x:v>112500</x:v>
      </x:c>
    </x:row>
    <x:row r="7">
      <x:c r="A7" s="37" t="str">
        <x:v>bundle_100_100</x:v>
      </x:c>
      <x:c r="B7" s="42" t="n">
        <x:v>3088</x:v>
      </x:c>
      <x:c r="C7" s="42" t="n">
        <x:v>3088</x:v>
      </x:c>
      <x:c r="D7" s="42" t="n">
        <x:v>1448</x:v>
      </x:c>
      <x:c r="E7" s="42" t="n">
        <x:v>662</x:v>
      </x:c>
      <x:c r="F7" s="42" t="n">
        <x:v>847</x:v>
      </x:c>
      <x:c r="G7" s="42" t="n">
        <x:v>725</x:v>
      </x:c>
      <x:c r="H7" s="42" t="n">
        <x:v>256</x:v>
      </x:c>
      <x:c r="I7" s="54" t="n">
        <x:v>96400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3.380000114440918" hidden="0" customWidth="1"/>
    <x:col min="3" max="3" width="14.5" hidden="0" customWidth="1"/>
    <x:col min="4" max="4" width="12.130000114440918" hidden="0" customWidth="1"/>
    <x:col min="5" max="5" width="15.75" hidden="0" customWidth="1"/>
    <x:col min="6" max="6" width="13.130000114440918" hidden="0" customWidth="1"/>
    <x:col min="7" max="7" width="14.75" hidden="0" customWidth="1"/>
    <x:col min="8" max="8" width="17.8799991607666" hidden="0" customWidth="1"/>
    <x:col min="9" max="9" width="14.25" hidden="0" customWidth="1"/>
  </x:cols>
  <x:sheetData>
    <x:row r="1" ht="30" customHeight="1">
      <x:c r="A1" s="4" t="str">
        <x:v>Marketplace Health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7" t="str">
        <x:v>Zone-level guardrails. P90 of P90 ETA is the 90th percentile of hourly P90 pickup time.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9" t="str">
        <x:v>Service zone</x:v>
      </x:c>
      <x:c r="B4" s="20" t="str">
        <x:v>Zone-hours</x:v>
      </x:c>
      <x:c r="C4" s="20" t="str">
        <x:v>Acceptance rate</x:v>
      </x:c>
      <x:c r="D4" s="20" t="str">
        <x:v>Cancellation rate</x:v>
      </x:c>
      <x:c r="E4" s="20" t="str">
        <x:v>P90 pickup ETA (min)</x:v>
      </x:c>
      <x:c r="F4" s="20" t="str">
        <x:v>Avg demand-supply gap</x:v>
      </x:c>
      <x:c r="G4" s="20" t="str">
        <x:v>Intervention hours</x:v>
      </x:c>
      <x:c r="H4" s="20" t="str">
        <x:v>Observed metric hours</x:v>
      </x:c>
      <x:c r="I4" s="21" t="str">
        <x:v>Source-only hours</x:v>
      </x:c>
    </x:row>
    <x:row r="5">
      <x:c r="A5" s="31" t="str">
        <x:v>TPE_AIRPORT</x:v>
      </x:c>
      <x:c r="B5" s="40" t="n">
        <x:v>1344</x:v>
      </x:c>
      <x:c r="C5" s="43" t="n">
        <x:v>0.9433355680557809</x:v>
      </x:c>
      <x:c r="D5" s="43" t="n">
        <x:v>0.12782296029191065</x:v>
      </x:c>
      <x:c r="E5" s="49" t="n">
        <x:v>21.2</x:v>
      </x:c>
      <x:c r="F5" s="49" t="n">
        <x:v>-7.704613095238095</x:v>
      </x:c>
      <x:c r="G5" s="49" t="n">
        <x:v>551</x:v>
      </x:c>
      <x:c r="H5" s="49" t="n">
        <x:v>1293</x:v>
      </x:c>
      <x:c r="I5" s="55" t="n">
        <x:v>51</x:v>
      </x:c>
    </x:row>
    <x:row r="6">
      <x:c r="A6" s="34" t="str">
        <x:v>TAIPEI_MAIN</x:v>
      </x:c>
      <x:c r="B6" s="41" t="n">
        <x:v>1344</x:v>
      </x:c>
      <x:c r="C6" s="44" t="n">
        <x:v>0.9465620328849028</x:v>
      </x:c>
      <x:c r="D6" s="44" t="n">
        <x:v>0.1383906327852516</x:v>
      </x:c>
      <x:c r="E6" s="50" t="n">
        <x:v>20.6</x:v>
      </x:c>
      <x:c r="F6" s="50" t="n">
        <x:v>-13.255208333333334</x:v>
      </x:c>
      <x:c r="G6" s="50" t="n">
        <x:v>252</x:v>
      </x:c>
      <x:c r="H6" s="50" t="n">
        <x:v>669</x:v>
      </x:c>
      <x:c r="I6" s="56" t="n">
        <x:v>675</x:v>
      </x:c>
    </x:row>
    <x:row r="7">
      <x:c r="A7" s="34" t="str">
        <x:v>TAIPEI_101</x:v>
      </x:c>
      <x:c r="B7" s="41" t="n">
        <x:v>1344</x:v>
      </x:c>
      <x:c r="C7" s="44" t="n">
        <x:v>0.9445208619899128</x:v>
      </x:c>
      <x:c r="D7" s="44" t="n">
        <x:v>0.10997248968363138</x:v>
      </x:c>
      <x:c r="E7" s="50" t="n">
        <x:v>20.5</x:v>
      </x:c>
      <x:c r="F7" s="50" t="n">
        <x:v>-14.114583333333334</x:v>
      </x:c>
      <x:c r="G7" s="50" t="n">
        <x:v>256</x:v>
      </x:c>
      <x:c r="H7" s="50" t="n">
        <x:v>727</x:v>
      </x:c>
      <x:c r="I7" s="56" t="n">
        <x:v>617</x:v>
      </x:c>
    </x:row>
    <x:row r="8">
      <x:c r="A8" s="37" t="str">
        <x:v>XIMENDING</x:v>
      </x:c>
      <x:c r="B8" s="42" t="n">
        <x:v>1344</x:v>
      </x:c>
      <x:c r="C8" s="45" t="n">
        <x:v>0.9489699425869637</x:v>
      </x:c>
      <x:c r="D8" s="45" t="n">
        <x:v>0.12138466734211413</x:v>
      </x:c>
      <x:c r="E8" s="51" t="n">
        <x:v>20.900000000000002</x:v>
      </x:c>
      <x:c r="F8" s="51" t="n">
        <x:v>-13.427827380952381</x:v>
      </x:c>
      <x:c r="G8" s="51" t="n">
        <x:v>253</x:v>
      </x:c>
      <x:c r="H8" s="51" t="n">
        <x:v>705</x:v>
      </x:c>
      <x:c r="I8" s="57" t="n">
        <x:v>639</x:v>
      </x:c>
    </x:row>
    <x:row r="12">
      <x:c r="A12" s="19" t="str">
        <x:v>Service zone</x:v>
      </x:c>
      <x:c r="B12" s="20" t="str">
        <x:v>Baseline P90 ETA</x:v>
      </x:c>
      <x:c r="C12" s="20" t="str">
        <x:v>Campaign P90 ETA</x:v>
      </x:c>
      <x:c r="D12" s="20" t="str">
        <x:v>ETA vs baseline</x:v>
      </x:c>
      <x:c r="E12" s="20" t="str">
        <x:v>Cancellation change</x:v>
      </x:c>
      <x:c r="F12" s="21" t="str">
        <x:v>Guardrail status</x:v>
      </x:c>
    </x:row>
    <x:row r="13">
      <x:c r="A13" s="31" t="str">
        <x:v>TPE_AIRPORT</x:v>
      </x:c>
      <x:c r="B13" s="58" t="n">
        <x:v>15.1892</x:v>
      </x:c>
      <x:c r="C13" s="58" t="n">
        <x:v>17.46072270227809</x:v>
      </x:c>
      <x:c r="D13" s="43" t="n">
        <x:v>0.14954854121863503</x:v>
      </x:c>
      <x:c r="E13" s="43" t="n">
        <x:v>0.00604680457414912</x:v>
      </x:c>
      <x:c r="F13" s="33" t="str">
        <x:v>guardrail_breach</x:v>
      </x:c>
    </x:row>
    <x:row r="14">
      <x:c r="A14" s="34" t="str">
        <x:v>TAIPEI_101</x:v>
      </x:c>
      <x:c r="B14" s="59" t="n">
        <x:v>15.489966555183953</x:v>
      </x:c>
      <x:c r="C14" s="59" t="n">
        <x:v>15.231594634873318</x:v>
      </x:c>
      <x:c r="D14" s="44" t="n">
        <x:v>-0.016679953400168368</x:v>
      </x:c>
      <x:c r="E14" s="44" t="n">
        <x:v>-0.006540330829189159</x:v>
      </x:c>
      <x:c r="F14" s="36" t="str">
        <x:v>pass</x:v>
      </x:c>
    </x:row>
    <x:row r="15">
      <x:c r="A15" s="34" t="str">
        <x:v>XIMENDING</x:v>
      </x:c>
      <x:c r="B15" s="59" t="n">
        <x:v>15.13971631205674</x:v>
      </x:c>
      <x:c r="C15" s="59" t="n">
        <x:v>15.355214723926379</x:v>
      </x:c>
      <x:c r="D15" s="44" t="n">
        <x:v>0.014233979516381279</x:v>
      </x:c>
      <x:c r="E15" s="44" t="n">
        <x:v>0.017177017068890105</x:v>
      </x:c>
      <x:c r="F15" s="36" t="str">
        <x:v>guardrail_breach</x:v>
      </x:c>
    </x:row>
    <x:row r="16">
      <x:c r="A16" s="37" t="str">
        <x:v>TAIPEI_MAIN</x:v>
      </x:c>
      <x:c r="B16" s="60" t="n">
        <x:v>15.656934306569344</x:v>
      </x:c>
      <x:c r="C16" s="60" t="n">
        <x:v>15.130706075533656</x:v>
      </x:c>
      <x:c r="D16" s="45" t="n">
        <x:v>-0.03360991498922572</x:v>
      </x:c>
      <x:c r="E16" s="45" t="n">
        <x:v>-0.010577879701176213</x:v>
      </x:c>
      <x:c r="F16" s="39" t="str">
        <x:v>pass</x:v>
      </x:c>
    </x:row>
  </x:sheetData>
  <x:mergeCells>
    <x:mergeCell ref="A1:P1"/>
    <x:mergeCell ref="A2:P2"/>
  </x:mergeCells>
  <x:conditionalFormatting sqref="D5:D8">
    <x:cfRule type="cellIs" dxfId="2" priority="1" operator="greaterThan">
      <x:formula>0.1</x:formula>
    </x:cfRule>
  </x:conditionalFormatting>
  <x:conditionalFormatting sqref="F13:F16">
    <x:cfRule type="containsText" dxfId="3" priority="2" operator="containsText" text="breach"/>
    <x:cfRule type="containsText" dxfId="4" priority="3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4.75" hidden="0" customWidth="1"/>
    <x:col min="3" max="3" width="14.25" hidden="0" customWidth="1"/>
    <x:col min="4" max="4" width="15.630000114440918" hidden="0" customWidth="1"/>
    <x:col min="5" max="5" width="9.630000114440918" hidden="0" customWidth="1"/>
    <x:col min="6" max="6" width="8.75" hidden="0" customWidth="1"/>
    <x:col min="7" max="7" width="20" hidden="0" customWidth="1"/>
  </x:cols>
  <x:sheetData>
    <x:row r="1" ht="30" customHeight="1">
      <x:c r="A1" s="4" t="str">
        <x:v>Campaign Budget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7" t="str">
        <x:v>Valid reward spend is compared with the pro-rata budget plan. Alert threshold: 15% over plan.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9" t="str">
        <x:v>Date</x:v>
      </x:c>
      <x:c r="B4" s="20" t="str">
        <x:v>Daily spend (TWD)</x:v>
      </x:c>
      <x:c r="C4" s="20" t="str">
        <x:v>Cumulative spend</x:v>
      </x:c>
      <x:c r="D4" s="20" t="str">
        <x:v>Planned cumulative</x:v>
      </x:c>
      <x:c r="E4" s="20" t="str">
        <x:v>Budget</x:v>
      </x:c>
      <x:c r="F4" s="20" t="str">
        <x:v>Spend rate</x:v>
      </x:c>
      <x:c r="G4" s="21" t="str">
        <x:v>Status</x:v>
      </x:c>
    </x:row>
    <x:row r="5">
      <x:c r="A5" s="31" t="str">
        <x:v>2025-09-01</x:v>
      </x:c>
      <x:c r="B5" s="46" t="n">
        <x:v>0</x:v>
      </x:c>
      <x:c r="C5" s="46" t="n">
        <x:v>0</x:v>
      </x:c>
      <x:c r="D5" s="46" t="n">
        <x:v>2678.5714285714284</x:v>
      </x:c>
      <x:c r="E5" s="46" t="n">
        <x:v>150000</x:v>
      </x:c>
      <x:c r="F5" s="43" t="n">
        <x:v>0</x:v>
      </x:c>
      <x:c r="G5" s="33" t="str">
        <x:v>on_track</x:v>
      </x:c>
    </x:row>
    <x:row r="6">
      <x:c r="A6" s="34" t="str">
        <x:v>2025-09-02</x:v>
      </x:c>
      <x:c r="B6" s="47" t="n">
        <x:v>400</x:v>
      </x:c>
      <x:c r="C6" s="47" t="n">
        <x:v>400</x:v>
      </x:c>
      <x:c r="D6" s="47" t="n">
        <x:v>5357.142857142857</x:v>
      </x:c>
      <x:c r="E6" s="47" t="n">
        <x:v>150000</x:v>
      </x:c>
      <x:c r="F6" s="44" t="n">
        <x:v>0.0026666666666666666</x:v>
      </x:c>
      <x:c r="G6" s="36" t="str">
        <x:v>on_track</x:v>
      </x:c>
    </x:row>
    <x:row r="7">
      <x:c r="A7" s="34" t="str">
        <x:v>2025-09-03</x:v>
      </x:c>
      <x:c r="B7" s="47" t="n">
        <x:v>800</x:v>
      </x:c>
      <x:c r="C7" s="47" t="n">
        <x:v>1200</x:v>
      </x:c>
      <x:c r="D7" s="47" t="n">
        <x:v>8035.714285714285</x:v>
      </x:c>
      <x:c r="E7" s="47" t="n">
        <x:v>150000</x:v>
      </x:c>
      <x:c r="F7" s="44" t="n">
        <x:v>0.008</x:v>
      </x:c>
      <x:c r="G7" s="36" t="str">
        <x:v>on_track</x:v>
      </x:c>
    </x:row>
    <x:row r="8">
      <x:c r="A8" s="34" t="str">
        <x:v>2025-09-04</x:v>
      </x:c>
      <x:c r="B8" s="47" t="n">
        <x:v>950</x:v>
      </x:c>
      <x:c r="C8" s="47" t="n">
        <x:v>2150</x:v>
      </x:c>
      <x:c r="D8" s="47" t="n">
        <x:v>10714.285714285714</x:v>
      </x:c>
      <x:c r="E8" s="47" t="n">
        <x:v>150000</x:v>
      </x:c>
      <x:c r="F8" s="44" t="n">
        <x:v>0.014333333333333333</x:v>
      </x:c>
      <x:c r="G8" s="36" t="str">
        <x:v>on_track</x:v>
      </x:c>
    </x:row>
    <x:row r="9">
      <x:c r="A9" s="34" t="str">
        <x:v>2025-09-05</x:v>
      </x:c>
      <x:c r="B9" s="47" t="n">
        <x:v>2050</x:v>
      </x:c>
      <x:c r="C9" s="47" t="n">
        <x:v>4200</x:v>
      </x:c>
      <x:c r="D9" s="47" t="n">
        <x:v>13392.857142857141</x:v>
      </x:c>
      <x:c r="E9" s="47" t="n">
        <x:v>150000</x:v>
      </x:c>
      <x:c r="F9" s="44" t="n">
        <x:v>0.028</x:v>
      </x:c>
      <x:c r="G9" s="36" t="str">
        <x:v>on_track</x:v>
      </x:c>
    </x:row>
    <x:row r="10">
      <x:c r="A10" s="34" t="str">
        <x:v>2025-09-06</x:v>
      </x:c>
      <x:c r="B10" s="47" t="n">
        <x:v>2600</x:v>
      </x:c>
      <x:c r="C10" s="47" t="n">
        <x:v>6800</x:v>
      </x:c>
      <x:c r="D10" s="47" t="n">
        <x:v>16071.42857142857</x:v>
      </x:c>
      <x:c r="E10" s="47" t="n">
        <x:v>150000</x:v>
      </x:c>
      <x:c r="F10" s="44" t="n">
        <x:v>0.04533333333333334</x:v>
      </x:c>
      <x:c r="G10" s="36" t="str">
        <x:v>on_track</x:v>
      </x:c>
    </x:row>
    <x:row r="11">
      <x:c r="A11" s="34" t="str">
        <x:v>2025-09-07</x:v>
      </x:c>
      <x:c r="B11" s="47" t="n">
        <x:v>3050</x:v>
      </x:c>
      <x:c r="C11" s="47" t="n">
        <x:v>9850</x:v>
      </x:c>
      <x:c r="D11" s="47" t="n">
        <x:v>18750</x:v>
      </x:c>
      <x:c r="E11" s="47" t="n">
        <x:v>150000</x:v>
      </x:c>
      <x:c r="F11" s="44" t="n">
        <x:v>0.06566666666666666</x:v>
      </x:c>
      <x:c r="G11" s="36" t="str">
        <x:v>on_track</x:v>
      </x:c>
    </x:row>
    <x:row r="12">
      <x:c r="A12" s="34" t="str">
        <x:v>2025-09-08</x:v>
      </x:c>
      <x:c r="B12" s="47" t="n">
        <x:v>2700</x:v>
      </x:c>
      <x:c r="C12" s="47" t="n">
        <x:v>12550</x:v>
      </x:c>
      <x:c r="D12" s="47" t="n">
        <x:v>21428.571428571428</x:v>
      </x:c>
      <x:c r="E12" s="47" t="n">
        <x:v>150000</x:v>
      </x:c>
      <x:c r="F12" s="44" t="n">
        <x:v>0.08366666666666667</x:v>
      </x:c>
      <x:c r="G12" s="36" t="str">
        <x:v>on_track</x:v>
      </x:c>
    </x:row>
    <x:row r="13">
      <x:c r="A13" s="34" t="str">
        <x:v>2025-09-09</x:v>
      </x:c>
      <x:c r="B13" s="47" t="n">
        <x:v>3700</x:v>
      </x:c>
      <x:c r="C13" s="47" t="n">
        <x:v>16250</x:v>
      </x:c>
      <x:c r="D13" s="47" t="n">
        <x:v>24107.142857142855</x:v>
      </x:c>
      <x:c r="E13" s="47" t="n">
        <x:v>150000</x:v>
      </x:c>
      <x:c r="F13" s="44" t="n">
        <x:v>0.10833333333333334</x:v>
      </x:c>
      <x:c r="G13" s="36" t="str">
        <x:v>on_track</x:v>
      </x:c>
    </x:row>
    <x:row r="14">
      <x:c r="A14" s="34" t="str">
        <x:v>2025-09-10</x:v>
      </x:c>
      <x:c r="B14" s="47" t="n">
        <x:v>3150</x:v>
      </x:c>
      <x:c r="C14" s="47" t="n">
        <x:v>19400</x:v>
      </x:c>
      <x:c r="D14" s="47" t="n">
        <x:v>26785.714285714283</x:v>
      </x:c>
      <x:c r="E14" s="47" t="n">
        <x:v>150000</x:v>
      </x:c>
      <x:c r="F14" s="44" t="n">
        <x:v>0.12933333333333333</x:v>
      </x:c>
      <x:c r="G14" s="36" t="str">
        <x:v>on_track</x:v>
      </x:c>
    </x:row>
    <x:row r="15">
      <x:c r="A15" s="34" t="str">
        <x:v>2025-09-11</x:v>
      </x:c>
      <x:c r="B15" s="47" t="n">
        <x:v>4150</x:v>
      </x:c>
      <x:c r="C15" s="47" t="n">
        <x:v>23550</x:v>
      </x:c>
      <x:c r="D15" s="47" t="n">
        <x:v>29464.285714285714</x:v>
      </x:c>
      <x:c r="E15" s="47" t="n">
        <x:v>150000</x:v>
      </x:c>
      <x:c r="F15" s="44" t="n">
        <x:v>0.157</x:v>
      </x:c>
      <x:c r="G15" s="36" t="str">
        <x:v>on_track</x:v>
      </x:c>
    </x:row>
    <x:row r="16">
      <x:c r="A16" s="34" t="str">
        <x:v>2025-09-12</x:v>
      </x:c>
      <x:c r="B16" s="47" t="n">
        <x:v>4350</x:v>
      </x:c>
      <x:c r="C16" s="47" t="n">
        <x:v>27900</x:v>
      </x:c>
      <x:c r="D16" s="47" t="n">
        <x:v>32142.85714285714</x:v>
      </x:c>
      <x:c r="E16" s="47" t="n">
        <x:v>150000</x:v>
      </x:c>
      <x:c r="F16" s="44" t="n">
        <x:v>0.186</x:v>
      </x:c>
      <x:c r="G16" s="36" t="str">
        <x:v>on_track</x:v>
      </x:c>
    </x:row>
    <x:row r="17">
      <x:c r="A17" s="34" t="str">
        <x:v>2025-09-13</x:v>
      </x:c>
      <x:c r="B17" s="47" t="n">
        <x:v>3950</x:v>
      </x:c>
      <x:c r="C17" s="47" t="n">
        <x:v>31850</x:v>
      </x:c>
      <x:c r="D17" s="47" t="n">
        <x:v>34821.42857142857</x:v>
      </x:c>
      <x:c r="E17" s="47" t="n">
        <x:v>150000</x:v>
      </x:c>
      <x:c r="F17" s="44" t="n">
        <x:v>0.21233333333333335</x:v>
      </x:c>
      <x:c r="G17" s="36" t="str">
        <x:v>on_track</x:v>
      </x:c>
    </x:row>
    <x:row r="18">
      <x:c r="A18" s="34" t="str">
        <x:v>2025-09-14</x:v>
      </x:c>
      <x:c r="B18" s="47" t="n">
        <x:v>2400</x:v>
      </x:c>
      <x:c r="C18" s="47" t="n">
        <x:v>34250</x:v>
      </x:c>
      <x:c r="D18" s="47" t="n">
        <x:v>37500</x:v>
      </x:c>
      <x:c r="E18" s="47" t="n">
        <x:v>150000</x:v>
      </x:c>
      <x:c r="F18" s="44" t="n">
        <x:v>0.22833333333333333</x:v>
      </x:c>
      <x:c r="G18" s="36" t="str">
        <x:v>on_track</x:v>
      </x:c>
    </x:row>
    <x:row r="19">
      <x:c r="A19" s="34" t="str">
        <x:v>2025-09-15</x:v>
      </x:c>
      <x:c r="B19" s="47" t="n">
        <x:v>4300</x:v>
      </x:c>
      <x:c r="C19" s="47" t="n">
        <x:v>38550</x:v>
      </x:c>
      <x:c r="D19" s="47" t="n">
        <x:v>40178.57142857143</x:v>
      </x:c>
      <x:c r="E19" s="47" t="n">
        <x:v>150000</x:v>
      </x:c>
      <x:c r="F19" s="44" t="n">
        <x:v>0.257</x:v>
      </x:c>
      <x:c r="G19" s="36" t="str">
        <x:v>on_track</x:v>
      </x:c>
    </x:row>
    <x:row r="20">
      <x:c r="A20" s="34" t="str">
        <x:v>2025-09-16</x:v>
      </x:c>
      <x:c r="B20" s="47" t="n">
        <x:v>3400</x:v>
      </x:c>
      <x:c r="C20" s="47" t="n">
        <x:v>41950</x:v>
      </x:c>
      <x:c r="D20" s="47" t="n">
        <x:v>42857.142857142855</x:v>
      </x:c>
      <x:c r="E20" s="47" t="n">
        <x:v>150000</x:v>
      </x:c>
      <x:c r="F20" s="44" t="n">
        <x:v>0.2796666666666667</x:v>
      </x:c>
      <x:c r="G20" s="36" t="str">
        <x:v>on_track</x:v>
      </x:c>
    </x:row>
    <x:row r="21">
      <x:c r="A21" s="34" t="str">
        <x:v>2025-09-17</x:v>
      </x:c>
      <x:c r="B21" s="47" t="n">
        <x:v>4100</x:v>
      </x:c>
      <x:c r="C21" s="47" t="n">
        <x:v>46050</x:v>
      </x:c>
      <x:c r="D21" s="47" t="n">
        <x:v>45535.71428571428</x:v>
      </x:c>
      <x:c r="E21" s="47" t="n">
        <x:v>150000</x:v>
      </x:c>
      <x:c r="F21" s="44" t="n">
        <x:v>0.307</x:v>
      </x:c>
      <x:c r="G21" s="36" t="str">
        <x:v>on_track</x:v>
      </x:c>
    </x:row>
    <x:row r="22">
      <x:c r="A22" s="34" t="str">
        <x:v>2025-09-18</x:v>
      </x:c>
      <x:c r="B22" s="47" t="n">
        <x:v>4450</x:v>
      </x:c>
      <x:c r="C22" s="47" t="n">
        <x:v>50500</x:v>
      </x:c>
      <x:c r="D22" s="47" t="n">
        <x:v>48214.28571428571</x:v>
      </x:c>
      <x:c r="E22" s="47" t="n">
        <x:v>150000</x:v>
      </x:c>
      <x:c r="F22" s="44" t="n">
        <x:v>0.33666666666666667</x:v>
      </x:c>
      <x:c r="G22" s="36" t="str">
        <x:v>on_track</x:v>
      </x:c>
    </x:row>
    <x:row r="23">
      <x:c r="A23" s="34" t="str">
        <x:v>2025-09-19</x:v>
      </x:c>
      <x:c r="B23" s="47" t="n">
        <x:v>4700</x:v>
      </x:c>
      <x:c r="C23" s="47" t="n">
        <x:v>55200</x:v>
      </x:c>
      <x:c r="D23" s="47" t="n">
        <x:v>50892.85714285714</x:v>
      </x:c>
      <x:c r="E23" s="47" t="n">
        <x:v>150000</x:v>
      </x:c>
      <x:c r="F23" s="44" t="n">
        <x:v>0.368</x:v>
      </x:c>
      <x:c r="G23" s="36" t="str">
        <x:v>on_track</x:v>
      </x:c>
    </x:row>
    <x:row r="24">
      <x:c r="A24" s="34" t="str">
        <x:v>2025-09-20</x:v>
      </x:c>
      <x:c r="B24" s="47" t="n">
        <x:v>4500</x:v>
      </x:c>
      <x:c r="C24" s="47" t="n">
        <x:v>59700</x:v>
      </x:c>
      <x:c r="D24" s="47" t="n">
        <x:v>53571.428571428565</x:v>
      </x:c>
      <x:c r="E24" s="47" t="n">
        <x:v>150000</x:v>
      </x:c>
      <x:c r="F24" s="44" t="n">
        <x:v>0.398</x:v>
      </x:c>
      <x:c r="G24" s="36" t="str">
        <x:v>on_track</x:v>
      </x:c>
    </x:row>
    <x:row r="25">
      <x:c r="A25" s="34" t="str">
        <x:v>2025-09-21</x:v>
      </x:c>
      <x:c r="B25" s="47" t="n">
        <x:v>4050</x:v>
      </x:c>
      <x:c r="C25" s="47" t="n">
        <x:v>63750</x:v>
      </x:c>
      <x:c r="D25" s="47" t="n">
        <x:v>56250</x:v>
      </x:c>
      <x:c r="E25" s="47" t="n">
        <x:v>150000</x:v>
      </x:c>
      <x:c r="F25" s="44" t="n">
        <x:v>0.425</x:v>
      </x:c>
      <x:c r="G25" s="36" t="str">
        <x:v>on_track</x:v>
      </x:c>
    </x:row>
    <x:row r="26">
      <x:c r="A26" s="34" t="str">
        <x:v>2025-09-22</x:v>
      </x:c>
      <x:c r="B26" s="47" t="n">
        <x:v>3500</x:v>
      </x:c>
      <x:c r="C26" s="47" t="n">
        <x:v>67250</x:v>
      </x:c>
      <x:c r="D26" s="47" t="n">
        <x:v>58928.57142857143</x:v>
      </x:c>
      <x:c r="E26" s="47" t="n">
        <x:v>150000</x:v>
      </x:c>
      <x:c r="F26" s="44" t="n">
        <x:v>0.4483333333333333</x:v>
      </x:c>
      <x:c r="G26" s="36" t="str">
        <x:v>on_track</x:v>
      </x:c>
    </x:row>
    <x:row r="27">
      <x:c r="A27" s="34" t="str">
        <x:v>2025-09-23</x:v>
      </x:c>
      <x:c r="B27" s="47" t="n">
        <x:v>4550</x:v>
      </x:c>
      <x:c r="C27" s="47" t="n">
        <x:v>71800</x:v>
      </x:c>
      <x:c r="D27" s="47" t="n">
        <x:v>61607.142857142855</x:v>
      </x:c>
      <x:c r="E27" s="47" t="n">
        <x:v>150000</x:v>
      </x:c>
      <x:c r="F27" s="44" t="n">
        <x:v>0.4786666666666667</x:v>
      </x:c>
      <x:c r="G27" s="36" t="str">
        <x:v>alert_over_pace</x:v>
      </x:c>
    </x:row>
    <x:row r="28">
      <x:c r="A28" s="34" t="str">
        <x:v>2025-09-24</x:v>
      </x:c>
      <x:c r="B28" s="47" t="n">
        <x:v>3300</x:v>
      </x:c>
      <x:c r="C28" s="47" t="n">
        <x:v>75100</x:v>
      </x:c>
      <x:c r="D28" s="47" t="n">
        <x:v>64285.71428571428</x:v>
      </x:c>
      <x:c r="E28" s="47" t="n">
        <x:v>150000</x:v>
      </x:c>
      <x:c r="F28" s="44" t="n">
        <x:v>0.5006666666666667</x:v>
      </x:c>
      <x:c r="G28" s="36" t="str">
        <x:v>alert_over_pace</x:v>
      </x:c>
    </x:row>
    <x:row r="29">
      <x:c r="A29" s="34" t="str">
        <x:v>2025-09-25</x:v>
      </x:c>
      <x:c r="B29" s="47" t="n">
        <x:v>4650</x:v>
      </x:c>
      <x:c r="C29" s="47" t="n">
        <x:v>79750</x:v>
      </x:c>
      <x:c r="D29" s="47" t="n">
        <x:v>66964.28571428571</x:v>
      </x:c>
      <x:c r="E29" s="47" t="n">
        <x:v>150000</x:v>
      </x:c>
      <x:c r="F29" s="44" t="n">
        <x:v>0.5316666666666666</x:v>
      </x:c>
      <x:c r="G29" s="36" t="str">
        <x:v>alert_over_pace</x:v>
      </x:c>
    </x:row>
    <x:row r="30">
      <x:c r="A30" s="34" t="str">
        <x:v>2025-09-26</x:v>
      </x:c>
      <x:c r="B30" s="47" t="n">
        <x:v>4450</x:v>
      </x:c>
      <x:c r="C30" s="47" t="n">
        <x:v>84200</x:v>
      </x:c>
      <x:c r="D30" s="47" t="n">
        <x:v>69642.85714285714</x:v>
      </x:c>
      <x:c r="E30" s="47" t="n">
        <x:v>150000</x:v>
      </x:c>
      <x:c r="F30" s="44" t="n">
        <x:v>0.5613333333333334</x:v>
      </x:c>
      <x:c r="G30" s="36" t="str">
        <x:v>alert_over_pace</x:v>
      </x:c>
    </x:row>
    <x:row r="31">
      <x:c r="A31" s="34" t="str">
        <x:v>2025-09-27</x:v>
      </x:c>
      <x:c r="B31" s="47" t="n">
        <x:v>6100</x:v>
      </x:c>
      <x:c r="C31" s="47" t="n">
        <x:v>90300</x:v>
      </x:c>
      <x:c r="D31" s="47" t="n">
        <x:v>72321.42857142857</x:v>
      </x:c>
      <x:c r="E31" s="47" t="n">
        <x:v>150000</x:v>
      </x:c>
      <x:c r="F31" s="44" t="n">
        <x:v>0.602</x:v>
      </x:c>
      <x:c r="G31" s="36" t="str">
        <x:v>alert_over_pace</x:v>
      </x:c>
    </x:row>
    <x:row r="32">
      <x:c r="A32" s="34" t="str">
        <x:v>2025-09-28</x:v>
      </x:c>
      <x:c r="B32" s="47" t="n">
        <x:v>3800</x:v>
      </x:c>
      <x:c r="C32" s="47" t="n">
        <x:v>94100</x:v>
      </x:c>
      <x:c r="D32" s="47" t="n">
        <x:v>75000</x:v>
      </x:c>
      <x:c r="E32" s="47" t="n">
        <x:v>150000</x:v>
      </x:c>
      <x:c r="F32" s="44" t="n">
        <x:v>0.6273333333333333</x:v>
      </x:c>
      <x:c r="G32" s="36" t="str">
        <x:v>alert_over_pace</x:v>
      </x:c>
    </x:row>
    <x:row r="33">
      <x:c r="A33" s="34" t="str">
        <x:v>2025-09-29</x:v>
      </x:c>
      <x:c r="B33" s="47" t="n">
        <x:v>4300</x:v>
      </x:c>
      <x:c r="C33" s="47" t="n">
        <x:v>98400</x:v>
      </x:c>
      <x:c r="D33" s="47" t="n">
        <x:v>77678.57142857142</x:v>
      </x:c>
      <x:c r="E33" s="47" t="n">
        <x:v>150000</x:v>
      </x:c>
      <x:c r="F33" s="44" t="n">
        <x:v>0.656</x:v>
      </x:c>
      <x:c r="G33" s="36" t="str">
        <x:v>alert_over_pace</x:v>
      </x:c>
    </x:row>
    <x:row r="34">
      <x:c r="A34" s="34" t="str">
        <x:v>2025-09-30</x:v>
      </x:c>
      <x:c r="B34" s="47" t="n">
        <x:v>3600</x:v>
      </x:c>
      <x:c r="C34" s="47" t="n">
        <x:v>102000</x:v>
      </x:c>
      <x:c r="D34" s="47" t="n">
        <x:v>80357.14285714286</x:v>
      </x:c>
      <x:c r="E34" s="47" t="n">
        <x:v>150000</x:v>
      </x:c>
      <x:c r="F34" s="44" t="n">
        <x:v>0.68</x:v>
      </x:c>
      <x:c r="G34" s="36" t="str">
        <x:v>alert_over_pace</x:v>
      </x:c>
    </x:row>
    <x:row r="35">
      <x:c r="A35" s="34" t="str">
        <x:v>2025-10-01</x:v>
      </x:c>
      <x:c r="B35" s="47" t="n">
        <x:v>4650</x:v>
      </x:c>
      <x:c r="C35" s="47" t="n">
        <x:v>106650</x:v>
      </x:c>
      <x:c r="D35" s="47" t="n">
        <x:v>83035.71428571428</x:v>
      </x:c>
      <x:c r="E35" s="47" t="n">
        <x:v>150000</x:v>
      </x:c>
      <x:c r="F35" s="44" t="n">
        <x:v>0.711</x:v>
      </x:c>
      <x:c r="G35" s="36" t="str">
        <x:v>alert_over_pace</x:v>
      </x:c>
    </x:row>
    <x:row r="36">
      <x:c r="A36" s="34" t="str">
        <x:v>2025-10-02</x:v>
      </x:c>
      <x:c r="B36" s="47" t="n">
        <x:v>3000</x:v>
      </x:c>
      <x:c r="C36" s="47" t="n">
        <x:v>109650</x:v>
      </x:c>
      <x:c r="D36" s="47" t="n">
        <x:v>85714.28571428571</x:v>
      </x:c>
      <x:c r="E36" s="47" t="n">
        <x:v>150000</x:v>
      </x:c>
      <x:c r="F36" s="44" t="n">
        <x:v>0.731</x:v>
      </x:c>
      <x:c r="G36" s="36" t="str">
        <x:v>alert_over_pace</x:v>
      </x:c>
    </x:row>
    <x:row r="37">
      <x:c r="A37" s="34" t="str">
        <x:v>2025-10-03</x:v>
      </x:c>
      <x:c r="B37" s="47" t="n">
        <x:v>3350</x:v>
      </x:c>
      <x:c r="C37" s="47" t="n">
        <x:v>113000</x:v>
      </x:c>
      <x:c r="D37" s="47" t="n">
        <x:v>88392.85714285714</x:v>
      </x:c>
      <x:c r="E37" s="47" t="n">
        <x:v>150000</x:v>
      </x:c>
      <x:c r="F37" s="44" t="n">
        <x:v>0.7533333333333333</x:v>
      </x:c>
      <x:c r="G37" s="36" t="str">
        <x:v>alert_over_pace</x:v>
      </x:c>
    </x:row>
    <x:row r="38">
      <x:c r="A38" s="34" t="str">
        <x:v>2025-10-04</x:v>
      </x:c>
      <x:c r="B38" s="47" t="n">
        <x:v>4650</x:v>
      </x:c>
      <x:c r="C38" s="47" t="n">
        <x:v>117650</x:v>
      </x:c>
      <x:c r="D38" s="47" t="n">
        <x:v>91071.42857142857</x:v>
      </x:c>
      <x:c r="E38" s="47" t="n">
        <x:v>150000</x:v>
      </x:c>
      <x:c r="F38" s="44" t="n">
        <x:v>0.7843333333333333</x:v>
      </x:c>
      <x:c r="G38" s="36" t="str">
        <x:v>alert_over_pace</x:v>
      </x:c>
    </x:row>
    <x:row r="39">
      <x:c r="A39" s="34" t="str">
        <x:v>2025-10-05</x:v>
      </x:c>
      <x:c r="B39" s="47" t="n">
        <x:v>2850</x:v>
      </x:c>
      <x:c r="C39" s="47" t="n">
        <x:v>120500</x:v>
      </x:c>
      <x:c r="D39" s="47" t="n">
        <x:v>93750</x:v>
      </x:c>
      <x:c r="E39" s="47" t="n">
        <x:v>150000</x:v>
      </x:c>
      <x:c r="F39" s="44" t="n">
        <x:v>0.8033333333333333</x:v>
      </x:c>
      <x:c r="G39" s="36" t="str">
        <x:v>alert_over_pace</x:v>
      </x:c>
    </x:row>
    <x:row r="40">
      <x:c r="A40" s="34" t="str">
        <x:v>2025-10-06</x:v>
      </x:c>
      <x:c r="B40" s="47" t="n">
        <x:v>5050</x:v>
      </x:c>
      <x:c r="C40" s="47" t="n">
        <x:v>125550</x:v>
      </x:c>
      <x:c r="D40" s="47" t="n">
        <x:v>96428.57142857142</x:v>
      </x:c>
      <x:c r="E40" s="47" t="n">
        <x:v>150000</x:v>
      </x:c>
      <x:c r="F40" s="44" t="n">
        <x:v>0.837</x:v>
      </x:c>
      <x:c r="G40" s="36" t="str">
        <x:v>alert_over_pace</x:v>
      </x:c>
    </x:row>
    <x:row r="41">
      <x:c r="A41" s="34" t="str">
        <x:v>2025-10-07</x:v>
      </x:c>
      <x:c r="B41" s="47" t="n">
        <x:v>3700</x:v>
      </x:c>
      <x:c r="C41" s="47" t="n">
        <x:v>129250</x:v>
      </x:c>
      <x:c r="D41" s="47" t="n">
        <x:v>99107.14285714286</x:v>
      </x:c>
      <x:c r="E41" s="47" t="n">
        <x:v>150000</x:v>
      </x:c>
      <x:c r="F41" s="44" t="n">
        <x:v>0.8616666666666667</x:v>
      </x:c>
      <x:c r="G41" s="36" t="str">
        <x:v>alert_over_pace</x:v>
      </x:c>
    </x:row>
    <x:row r="42">
      <x:c r="A42" s="34" t="str">
        <x:v>2025-10-08</x:v>
      </x:c>
      <x:c r="B42" s="47" t="n">
        <x:v>3300</x:v>
      </x:c>
      <x:c r="C42" s="47" t="n">
        <x:v>132550</x:v>
      </x:c>
      <x:c r="D42" s="47" t="n">
        <x:v>101785.71428571428</x:v>
      </x:c>
      <x:c r="E42" s="47" t="n">
        <x:v>150000</x:v>
      </x:c>
      <x:c r="F42" s="44" t="n">
        <x:v>0.8836666666666667</x:v>
      </x:c>
      <x:c r="G42" s="36" t="str">
        <x:v>alert_over_pace</x:v>
      </x:c>
    </x:row>
    <x:row r="43">
      <x:c r="A43" s="34" t="str">
        <x:v>2025-10-09</x:v>
      </x:c>
      <x:c r="B43" s="47" t="n">
        <x:v>3650</x:v>
      </x:c>
      <x:c r="C43" s="47" t="n">
        <x:v>136200</x:v>
      </x:c>
      <x:c r="D43" s="47" t="n">
        <x:v>104464.28571428571</x:v>
      </x:c>
      <x:c r="E43" s="47" t="n">
        <x:v>150000</x:v>
      </x:c>
      <x:c r="F43" s="44" t="n">
        <x:v>0.908</x:v>
      </x:c>
      <x:c r="G43" s="36" t="str">
        <x:v>alert_over_pace</x:v>
      </x:c>
    </x:row>
    <x:row r="44">
      <x:c r="A44" s="34" t="str">
        <x:v>2025-10-10</x:v>
      </x:c>
      <x:c r="B44" s="47" t="n">
        <x:v>4650</x:v>
      </x:c>
      <x:c r="C44" s="47" t="n">
        <x:v>140850</x:v>
      </x:c>
      <x:c r="D44" s="47" t="n">
        <x:v>107142.85714285713</x:v>
      </x:c>
      <x:c r="E44" s="47" t="n">
        <x:v>150000</x:v>
      </x:c>
      <x:c r="F44" s="44" t="n">
        <x:v>0.939</x:v>
      </x:c>
      <x:c r="G44" s="36" t="str">
        <x:v>alert_over_pace</x:v>
      </x:c>
    </x:row>
    <x:row r="45">
      <x:c r="A45" s="34" t="str">
        <x:v>2025-10-11</x:v>
      </x:c>
      <x:c r="B45" s="47" t="n">
        <x:v>5050</x:v>
      </x:c>
      <x:c r="C45" s="47" t="n">
        <x:v>145900</x:v>
      </x:c>
      <x:c r="D45" s="47" t="n">
        <x:v>109821.42857142857</x:v>
      </x:c>
      <x:c r="E45" s="47" t="n">
        <x:v>150000</x:v>
      </x:c>
      <x:c r="F45" s="44" t="n">
        <x:v>0.9726666666666667</x:v>
      </x:c>
      <x:c r="G45" s="36" t="str">
        <x:v>alert_over_pace</x:v>
      </x:c>
    </x:row>
    <x:row r="46">
      <x:c r="A46" s="34" t="str">
        <x:v>2025-10-12</x:v>
      </x:c>
      <x:c r="B46" s="47" t="n">
        <x:v>4000</x:v>
      </x:c>
      <x:c r="C46" s="47" t="n">
        <x:v>149900</x:v>
      </x:c>
      <x:c r="D46" s="47" t="n">
        <x:v>112500</x:v>
      </x:c>
      <x:c r="E46" s="47" t="n">
        <x:v>150000</x:v>
      </x:c>
      <x:c r="F46" s="44" t="n">
        <x:v>0.9993333333333333</x:v>
      </x:c>
      <x:c r="G46" s="36" t="str">
        <x:v>alert_over_pace</x:v>
      </x:c>
    </x:row>
    <x:row r="47">
      <x:c r="A47" s="34" t="str">
        <x:v>2025-10-13</x:v>
      </x:c>
      <x:c r="B47" s="47" t="n">
        <x:v>4150</x:v>
      </x:c>
      <x:c r="C47" s="47" t="n">
        <x:v>154050</x:v>
      </x:c>
      <x:c r="D47" s="47" t="n">
        <x:v>115178.57142857142</x:v>
      </x:c>
      <x:c r="E47" s="47" t="n">
        <x:v>150000</x:v>
      </x:c>
      <x:c r="F47" s="44" t="n">
        <x:v>1.027</x:v>
      </x:c>
      <x:c r="G47" s="36" t="str">
        <x:v>alert_over_budget</x:v>
      </x:c>
    </x:row>
    <x:row r="48">
      <x:c r="A48" s="34" t="str">
        <x:v>2025-10-14</x:v>
      </x:c>
      <x:c r="B48" s="47" t="n">
        <x:v>3650</x:v>
      </x:c>
      <x:c r="C48" s="47" t="n">
        <x:v>157700</x:v>
      </x:c>
      <x:c r="D48" s="47" t="n">
        <x:v>117857.14285714286</x:v>
      </x:c>
      <x:c r="E48" s="47" t="n">
        <x:v>150000</x:v>
      </x:c>
      <x:c r="F48" s="44" t="n">
        <x:v>1.0513333333333332</x:v>
      </x:c>
      <x:c r="G48" s="36" t="str">
        <x:v>alert_over_budget</x:v>
      </x:c>
    </x:row>
    <x:row r="49">
      <x:c r="A49" s="34" t="str">
        <x:v>2025-10-15</x:v>
      </x:c>
      <x:c r="B49" s="47" t="n">
        <x:v>4800</x:v>
      </x:c>
      <x:c r="C49" s="47" t="n">
        <x:v>162500</x:v>
      </x:c>
      <x:c r="D49" s="47" t="n">
        <x:v>120535.71428571428</x:v>
      </x:c>
      <x:c r="E49" s="47" t="n">
        <x:v>150000</x:v>
      </x:c>
      <x:c r="F49" s="44" t="n">
        <x:v>1.0833333333333333</x:v>
      </x:c>
      <x:c r="G49" s="36" t="str">
        <x:v>alert_over_budget</x:v>
      </x:c>
    </x:row>
    <x:row r="50">
      <x:c r="A50" s="34" t="str">
        <x:v>2025-10-16</x:v>
      </x:c>
      <x:c r="B50" s="47" t="n">
        <x:v>4000</x:v>
      </x:c>
      <x:c r="C50" s="47" t="n">
        <x:v>166500</x:v>
      </x:c>
      <x:c r="D50" s="47" t="n">
        <x:v>123214.28571428571</x:v>
      </x:c>
      <x:c r="E50" s="47" t="n">
        <x:v>150000</x:v>
      </x:c>
      <x:c r="F50" s="44" t="n">
        <x:v>1.11</x:v>
      </x:c>
      <x:c r="G50" s="36" t="str">
        <x:v>alert_over_budget</x:v>
      </x:c>
    </x:row>
    <x:row r="51">
      <x:c r="A51" s="34" t="str">
        <x:v>2025-10-17</x:v>
      </x:c>
      <x:c r="B51" s="47" t="n">
        <x:v>3400</x:v>
      </x:c>
      <x:c r="C51" s="47" t="n">
        <x:v>169900</x:v>
      </x:c>
      <x:c r="D51" s="47" t="n">
        <x:v>125892.85714285713</x:v>
      </x:c>
      <x:c r="E51" s="47" t="n">
        <x:v>150000</x:v>
      </x:c>
      <x:c r="F51" s="44" t="n">
        <x:v>1.1326666666666667</x:v>
      </x:c>
      <x:c r="G51" s="36" t="str">
        <x:v>alert_over_budget</x:v>
      </x:c>
    </x:row>
    <x:row r="52">
      <x:c r="A52" s="34" t="str">
        <x:v>2025-10-18</x:v>
      </x:c>
      <x:c r="B52" s="47" t="n">
        <x:v>4150</x:v>
      </x:c>
      <x:c r="C52" s="47" t="n">
        <x:v>174050</x:v>
      </x:c>
      <x:c r="D52" s="47" t="n">
        <x:v>128571.42857142857</x:v>
      </x:c>
      <x:c r="E52" s="47" t="n">
        <x:v>150000</x:v>
      </x:c>
      <x:c r="F52" s="44" t="n">
        <x:v>1.1603333333333334</x:v>
      </x:c>
      <x:c r="G52" s="36" t="str">
        <x:v>alert_over_budget</x:v>
      </x:c>
    </x:row>
    <x:row r="53">
      <x:c r="A53" s="34" t="str">
        <x:v>2025-10-19</x:v>
      </x:c>
      <x:c r="B53" s="47" t="n">
        <x:v>4050</x:v>
      </x:c>
      <x:c r="C53" s="47" t="n">
        <x:v>178100</x:v>
      </x:c>
      <x:c r="D53" s="47" t="n">
        <x:v>131250</x:v>
      </x:c>
      <x:c r="E53" s="47" t="n">
        <x:v>150000</x:v>
      </x:c>
      <x:c r="F53" s="44" t="n">
        <x:v>1.1873333333333334</x:v>
      </x:c>
      <x:c r="G53" s="36" t="str">
        <x:v>alert_over_budget</x:v>
      </x:c>
    </x:row>
    <x:row r="54">
      <x:c r="A54" s="34" t="str">
        <x:v>2025-10-20</x:v>
      </x:c>
      <x:c r="B54" s="47" t="n">
        <x:v>4100</x:v>
      </x:c>
      <x:c r="C54" s="47" t="n">
        <x:v>182200</x:v>
      </x:c>
      <x:c r="D54" s="47" t="n">
        <x:v>133928.57142857142</x:v>
      </x:c>
      <x:c r="E54" s="47" t="n">
        <x:v>150000</x:v>
      </x:c>
      <x:c r="F54" s="44" t="n">
        <x:v>1.2146666666666666</x:v>
      </x:c>
      <x:c r="G54" s="36" t="str">
        <x:v>alert_over_budget</x:v>
      </x:c>
    </x:row>
    <x:row r="55">
      <x:c r="A55" s="34" t="str">
        <x:v>2025-10-21</x:v>
      </x:c>
      <x:c r="B55" s="47" t="n">
        <x:v>3450</x:v>
      </x:c>
      <x:c r="C55" s="47" t="n">
        <x:v>185650</x:v>
      </x:c>
      <x:c r="D55" s="47" t="n">
        <x:v>136607.14285714284</x:v>
      </x:c>
      <x:c r="E55" s="47" t="n">
        <x:v>150000</x:v>
      </x:c>
      <x:c r="F55" s="44" t="n">
        <x:v>1.2376666666666667</x:v>
      </x:c>
      <x:c r="G55" s="36" t="str">
        <x:v>alert_over_budget</x:v>
      </x:c>
    </x:row>
    <x:row r="56">
      <x:c r="A56" s="34" t="str">
        <x:v>2025-10-22</x:v>
      </x:c>
      <x:c r="B56" s="47" t="n">
        <x:v>4200</x:v>
      </x:c>
      <x:c r="C56" s="47" t="n">
        <x:v>189850</x:v>
      </x:c>
      <x:c r="D56" s="47" t="n">
        <x:v>139285.7142857143</x:v>
      </x:c>
      <x:c r="E56" s="47" t="n">
        <x:v>150000</x:v>
      </x:c>
      <x:c r="F56" s="44" t="n">
        <x:v>1.2656666666666667</x:v>
      </x:c>
      <x:c r="G56" s="36" t="str">
        <x:v>alert_over_budget</x:v>
      </x:c>
    </x:row>
    <x:row r="57">
      <x:c r="A57" s="34" t="str">
        <x:v>2025-10-23</x:v>
      </x:c>
      <x:c r="B57" s="47" t="n">
        <x:v>4750</x:v>
      </x:c>
      <x:c r="C57" s="47" t="n">
        <x:v>194600</x:v>
      </x:c>
      <x:c r="D57" s="47" t="n">
        <x:v>141964.2857142857</x:v>
      </x:c>
      <x:c r="E57" s="47" t="n">
        <x:v>150000</x:v>
      </x:c>
      <x:c r="F57" s="44" t="n">
        <x:v>1.2973333333333332</x:v>
      </x:c>
      <x:c r="G57" s="36" t="str">
        <x:v>alert_over_budget</x:v>
      </x:c>
    </x:row>
    <x:row r="58">
      <x:c r="A58" s="34" t="str">
        <x:v>2025-10-24</x:v>
      </x:c>
      <x:c r="B58" s="47" t="n">
        <x:v>3650</x:v>
      </x:c>
      <x:c r="C58" s="47" t="n">
        <x:v>198250</x:v>
      </x:c>
      <x:c r="D58" s="47" t="n">
        <x:v>144642.85714285713</x:v>
      </x:c>
      <x:c r="E58" s="47" t="n">
        <x:v>150000</x:v>
      </x:c>
      <x:c r="F58" s="44" t="n">
        <x:v>1.3216666666666668</x:v>
      </x:c>
      <x:c r="G58" s="36" t="str">
        <x:v>alert_over_budget</x:v>
      </x:c>
    </x:row>
    <x:row r="59">
      <x:c r="A59" s="34" t="str">
        <x:v>2025-10-25</x:v>
      </x:c>
      <x:c r="B59" s="47" t="n">
        <x:v>4300</x:v>
      </x:c>
      <x:c r="C59" s="47" t="n">
        <x:v>202550</x:v>
      </x:c>
      <x:c r="D59" s="47" t="n">
        <x:v>147321.42857142855</x:v>
      </x:c>
      <x:c r="E59" s="47" t="n">
        <x:v>150000</x:v>
      </x:c>
      <x:c r="F59" s="44" t="n">
        <x:v>1.3503333333333334</x:v>
      </x:c>
      <x:c r="G59" s="36" t="str">
        <x:v>alert_over_budget</x:v>
      </x:c>
    </x:row>
    <x:row r="60">
      <x:c r="A60" s="34" t="str">
        <x:v>2025-10-26</x:v>
      </x:c>
      <x:c r="B60" s="47" t="n">
        <x:v>4050</x:v>
      </x:c>
      <x:c r="C60" s="47" t="n">
        <x:v>206600</x:v>
      </x:c>
      <x:c r="D60" s="47" t="n">
        <x:v>150000</x:v>
      </x:c>
      <x:c r="E60" s="47" t="n">
        <x:v>150000</x:v>
      </x:c>
      <x:c r="F60" s="44" t="n">
        <x:v>1.3773333333333333</x:v>
      </x:c>
      <x:c r="G60" s="36" t="str">
        <x:v>alert_over_budget</x:v>
      </x:c>
    </x:row>
    <x:row r="61">
      <x:c r="A61" s="34" t="str">
        <x:v>2025-10-27</x:v>
      </x:c>
      <x:c r="B61" s="47" t="n">
        <x:v>800</x:v>
      </x:c>
      <x:c r="C61" s="47" t="n">
        <x:v>207400</x:v>
      </x:c>
      <x:c r="D61" s="47" t="n">
        <x:v>150000</x:v>
      </x:c>
      <x:c r="E61" s="47" t="n">
        <x:v>150000</x:v>
      </x:c>
      <x:c r="F61" s="44" t="n">
        <x:v>1.3826666666666667</x:v>
      </x:c>
      <x:c r="G61" s="36" t="str">
        <x:v>alert_over_budget</x:v>
      </x:c>
    </x:row>
    <x:row r="62">
      <x:c r="A62" s="34" t="str">
        <x:v>2025-10-28</x:v>
      </x:c>
      <x:c r="B62" s="47" t="n">
        <x:v>700</x:v>
      </x:c>
      <x:c r="C62" s="47" t="n">
        <x:v>208100</x:v>
      </x:c>
      <x:c r="D62" s="47" t="n">
        <x:v>150000</x:v>
      </x:c>
      <x:c r="E62" s="47" t="n">
        <x:v>150000</x:v>
      </x:c>
      <x:c r="F62" s="44" t="n">
        <x:v>1.3873333333333333</x:v>
      </x:c>
      <x:c r="G62" s="36" t="str">
        <x:v>alert_over_budget</x:v>
      </x:c>
    </x:row>
    <x:row r="63">
      <x:c r="A63" s="34" t="str">
        <x:v>2025-10-29</x:v>
      </x:c>
      <x:c r="B63" s="47" t="n">
        <x:v>400</x:v>
      </x:c>
      <x:c r="C63" s="47" t="n">
        <x:v>208500</x:v>
      </x:c>
      <x:c r="D63" s="47" t="n">
        <x:v>150000</x:v>
      </x:c>
      <x:c r="E63" s="47" t="n">
        <x:v>150000</x:v>
      </x:c>
      <x:c r="F63" s="44" t="n">
        <x:v>1.39</x:v>
      </x:c>
      <x:c r="G63" s="36" t="str">
        <x:v>alert_over_budget</x:v>
      </x:c>
    </x:row>
    <x:row r="64">
      <x:c r="A64" s="34" t="str">
        <x:v>2025-10-30</x:v>
      </x:c>
      <x:c r="B64" s="47" t="n">
        <x:v>300</x:v>
      </x:c>
      <x:c r="C64" s="47" t="n">
        <x:v>208800</x:v>
      </x:c>
      <x:c r="D64" s="47" t="n">
        <x:v>150000</x:v>
      </x:c>
      <x:c r="E64" s="47" t="n">
        <x:v>150000</x:v>
      </x:c>
      <x:c r="F64" s="44" t="n">
        <x:v>1.392</x:v>
      </x:c>
      <x:c r="G64" s="36" t="str">
        <x:v>alert_over_budget</x:v>
      </x:c>
    </x:row>
    <x:row r="65">
      <x:c r="A65" s="34" t="str">
        <x:v>2025-10-31</x:v>
      </x:c>
      <x:c r="B65" s="47" t="n">
        <x:v>0</x:v>
      </x:c>
      <x:c r="C65" s="47" t="n">
        <x:v>208800</x:v>
      </x:c>
      <x:c r="D65" s="47" t="n">
        <x:v>150000</x:v>
      </x:c>
      <x:c r="E65" s="47" t="n">
        <x:v>150000</x:v>
      </x:c>
      <x:c r="F65" s="44" t="n">
        <x:v>1.392</x:v>
      </x:c>
      <x:c r="G65" s="36" t="str">
        <x:v>alert_over_budget</x:v>
      </x:c>
    </x:row>
    <x:row r="66">
      <x:c r="A66" s="34" t="str">
        <x:v>2025-11-01</x:v>
      </x:c>
      <x:c r="B66" s="47" t="n">
        <x:v>100</x:v>
      </x:c>
      <x:c r="C66" s="47" t="n">
        <x:v>208900</x:v>
      </x:c>
      <x:c r="D66" s="47" t="n">
        <x:v>150000</x:v>
      </x:c>
      <x:c r="E66" s="47" t="n">
        <x:v>150000</x:v>
      </x:c>
      <x:c r="F66" s="44" t="n">
        <x:v>1.3926666666666667</x:v>
      </x:c>
      <x:c r="G66" s="36" t="str">
        <x:v>alert_over_budget</x:v>
      </x:c>
    </x:row>
    <x:row r="67">
      <x:c r="A67" s="37" t="str">
        <x:v>2025-11-02</x:v>
      </x:c>
      <x:c r="B67" s="48" t="n">
        <x:v>0</x:v>
      </x:c>
      <x:c r="C67" s="48" t="n">
        <x:v>208900</x:v>
      </x:c>
      <x:c r="D67" s="48" t="n">
        <x:v>150000</x:v>
      </x:c>
      <x:c r="E67" s="48" t="n">
        <x:v>150000</x:v>
      </x:c>
      <x:c r="F67" s="45" t="n">
        <x:v>1.3926666666666667</x:v>
      </x:c>
      <x:c r="G67" s="39" t="str">
        <x:v>alert_over_budget</x:v>
      </x:c>
    </x:row>
  </x:sheetData>
  <x:mergeCells>
    <x:mergeCell ref="A1:P1"/>
    <x:mergeCell ref="A2:P2"/>
  </x:mergeCells>
  <x:conditionalFormatting sqref="G5:G67">
    <x:cfRule type="containsText" dxfId="5" priority="1" operator="containsText" text="alert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5" hidden="0" customWidth="1"/>
    <x:col min="2" max="2" width="9.75" hidden="0" customWidth="1"/>
    <x:col min="3" max="3" width="9.630000114440918" hidden="0" customWidth="1"/>
    <x:col min="4" max="4" width="13" hidden="0" customWidth="1"/>
    <x:col min="5" max="5" width="10.880000114440918" hidden="0" customWidth="1"/>
  </x:cols>
  <x:sheetData>
    <x:row r="1" ht="30" customHeight="1">
      <x:c r="A1" s="4" t="str">
        <x:v>Data Quality and Reconciliation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7" t="str">
        <x:v>Hard-invalid trips are quarantined; late events are retained with warning after sequence validation.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9" t="str">
        <x:v>Issue</x:v>
      </x:c>
      <x:c r="B4" s="20" t="str">
        <x:v>Severity</x:v>
      </x:c>
      <x:c r="C4" s="20" t="str">
        <x:v>Disposition</x:v>
      </x:c>
      <x:c r="D4" s="20" t="str">
        <x:v>Affected records</x:v>
      </x:c>
      <x:c r="E4" s="21" t="str">
        <x:v>Affected trips</x:v>
      </x:c>
    </x:row>
    <x:row r="5">
      <x:c r="A5" s="31" t="str">
        <x:v>future_or_unparseable_event_time</x:v>
      </x:c>
      <x:c r="B5" s="32" t="str">
        <x:v>hard_invalid</x:v>
      </x:c>
      <x:c r="C5" s="32" t="str">
        <x:v>quarantined</x:v>
      </x:c>
      <x:c r="D5" s="40" t="n">
        <x:v>1995</x:v>
      </x:c>
      <x:c r="E5" s="61" t="n">
        <x:v>1968</x:v>
      </x:c>
    </x:row>
    <x:row r="6">
      <x:c r="A6" s="34" t="str">
        <x:v>non_monotonic_event_steps</x:v>
      </x:c>
      <x:c r="B6" s="35" t="str">
        <x:v>hard_invalid</x:v>
      </x:c>
      <x:c r="C6" s="35" t="str">
        <x:v>quarantined</x:v>
      </x:c>
      <x:c r="D6" s="41" t="n">
        <x:v>1819</x:v>
      </x:c>
      <x:c r="E6" s="62" t="n">
        <x:v>1819</x:v>
      </x:c>
    </x:row>
    <x:row r="7">
      <x:c r="A7" s="34" t="str">
        <x:v>invalid_event_sequence</x:v>
      </x:c>
      <x:c r="B7" s="35" t="str">
        <x:v>hard_invalid</x:v>
      </x:c>
      <x:c r="C7" s="35" t="str">
        <x:v>quarantined</x:v>
      </x:c>
      <x:c r="D7" s="41" t="n">
        <x:v>1424</x:v>
      </x:c>
      <x:c r="E7" s="62" t="n">
        <x:v>1424</x:v>
      </x:c>
    </x:row>
    <x:row r="8">
      <x:c r="A8" s="34" t="str">
        <x:v>invalid_coordinates</x:v>
      </x:c>
      <x:c r="B8" s="35" t="str">
        <x:v>hard_invalid</x:v>
      </x:c>
      <x:c r="C8" s="35" t="str">
        <x:v>quarantined</x:v>
      </x:c>
      <x:c r="D8" s="41" t="n">
        <x:v>513</x:v>
      </x:c>
      <x:c r="E8" s="62" t="n">
        <x:v>513</x:v>
      </x:c>
    </x:row>
    <x:row r="9">
      <x:c r="A9" s="34" t="str">
        <x:v>payment_exceeds_gross_fare</x:v>
      </x:c>
      <x:c r="B9" s="35" t="str">
        <x:v>hard_invalid</x:v>
      </x:c>
      <x:c r="C9" s="35" t="str">
        <x:v>quarantined</x:v>
      </x:c>
      <x:c r="D9" s="41" t="n">
        <x:v>304</x:v>
      </x:c>
      <x:c r="E9" s="62" t="n">
        <x:v>304</x:v>
      </x:c>
    </x:row>
    <x:row r="10">
      <x:c r="A10" s="34" t="str">
        <x:v>negative_fare</x:v>
      </x:c>
      <x:c r="B10" s="35" t="str">
        <x:v>hard_invalid</x:v>
      </x:c>
      <x:c r="C10" s="35" t="str">
        <x:v>quarantined</x:v>
      </x:c>
      <x:c r="D10" s="41" t="n">
        <x:v>178</x:v>
      </x:c>
      <x:c r="E10" s="62" t="n">
        <x:v>178</x:v>
      </x:c>
    </x:row>
    <x:row r="11">
      <x:c r="A11" s="34" t="str">
        <x:v>orphan_user</x:v>
      </x:c>
      <x:c r="B11" s="35" t="str">
        <x:v>hard_invalid</x:v>
      </x:c>
      <x:c r="C11" s="35" t="str">
        <x:v>quarantined</x:v>
      </x:c>
      <x:c r="D11" s="41" t="n">
        <x:v>104</x:v>
      </x:c>
      <x:c r="E11" s="62" t="n">
        <x:v>104</x:v>
      </x:c>
    </x:row>
    <x:row r="12">
      <x:c r="A12" s="34" t="str">
        <x:v>orphan_driver</x:v>
      </x:c>
      <x:c r="B12" s="35" t="str">
        <x:v>hard_invalid</x:v>
      </x:c>
      <x:c r="C12" s="35" t="str">
        <x:v>quarantined</x:v>
      </x:c>
      <x:c r="D12" s="41" t="n">
        <x:v>104</x:v>
      </x:c>
      <x:c r="E12" s="62" t="n">
        <x:v>104</x:v>
      </x:c>
    </x:row>
    <x:row r="13">
      <x:c r="A13" s="34" t="str">
        <x:v>implausible_speed</x:v>
      </x:c>
      <x:c r="B13" s="35" t="str">
        <x:v>hard_invalid</x:v>
      </x:c>
      <x:c r="C13" s="35" t="str">
        <x:v>quarantined</x:v>
      </x:c>
      <x:c r="D13" s="41" t="n">
        <x:v>25</x:v>
      </x:c>
      <x:c r="E13" s="62" t="n">
        <x:v>25</x:v>
      </x:c>
    </x:row>
    <x:row r="14">
      <x:c r="A14" s="37" t="str">
        <x:v>late_arriving_event</x:v>
      </x:c>
      <x:c r="B14" s="38" t="str">
        <x:v>warning</x:v>
      </x:c>
      <x:c r="C14" s="38" t="str">
        <x:v>kept_with_warning</x:v>
      </x:c>
      <x:c r="D14" s="42" t="n">
        <x:v>4717</x:v>
      </x:c>
      <x:c r="E14" s="63" t="n">
        <x:v>4522</x:v>
      </x:c>
    </x:row>
    <x:row r="16">
      <x:c r="A16" s="19" t="str">
        <x:v>KPI</x:v>
      </x:c>
      <x:c r="B16" s="20" t="str">
        <x:v>Raw value</x:v>
      </x:c>
      <x:c r="C16" s="20" t="str">
        <x:v>Clean value</x:v>
      </x:c>
      <x:c r="D16" s="21" t="str">
        <x:v>Difference</x:v>
      </x:c>
    </x:row>
    <x:row r="17">
      <x:c r="A17" s="31" t="str">
        <x:v>trip_rows</x:v>
      </x:c>
      <x:c r="B17" s="40" t="n">
        <x:v>52222</x:v>
      </x:c>
      <x:c r="C17" s="40" t="n">
        <x:v>48347</x:v>
      </x:c>
      <x:c r="D17" s="61" t="n">
        <x:f>C17-B17</x:f>
        <x:v>-3875</x:v>
      </x:c>
    </x:row>
    <x:row r="18">
      <x:c r="A18" s="34" t="str">
        <x:v>completion_rate</x:v>
      </x:c>
      <x:c r="B18" s="44" t="n">
        <x:v>0.8753015970280724</x:v>
      </x:c>
      <x:c r="C18" s="44" t="n">
        <x:v>0.8728359567294764</x:v>
      </x:c>
      <x:c r="D18" s="64" t="n">
        <x:f>C18-B18</x:f>
        <x:v>-0.0024656402985959724</x:v>
      </x:c>
    </x:row>
    <x:row r="19">
      <x:c r="A19" s="34" t="str">
        <x:v>cancellation_rate</x:v>
      </x:c>
      <x:c r="B19" s="44" t="n">
        <x:v>0.12469840297192754</x:v>
      </x:c>
      <x:c r="C19" s="44" t="n">
        <x:v>0.1271640432705235</x:v>
      </x:c>
      <x:c r="D19" s="64" t="n">
        <x:f>C19-B19</x:f>
        <x:v>0.0024656402985959586</x:v>
      </x:c>
    </x:row>
    <x:row r="20">
      <x:c r="A20" s="37" t="str">
        <x:v>gross_fare_twd</x:v>
      </x:c>
      <x:c r="B20" s="48" t="n">
        <x:v>21979956</x:v>
      </x:c>
      <x:c r="C20" s="48" t="n">
        <x:v>20505068</x:v>
      </x:c>
      <x:c r="D20" s="54" t="n">
        <x:f>C20-B20</x:f>
        <x:v>-1474888</x:v>
      </x:c>
    </x:row>
  </x:sheetData>
  <x:mergeCells>
    <x:mergeCell ref="A1:P1"/>
    <x:mergeCell ref="A2:P2"/>
  </x:mergeCells>
  <x:conditionalFormatting sqref="B5:B14">
    <x:cfRule type="containsText" dxfId="6" priority="1" operator="containsText" text="har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5" hidden="0" customWidth="1"/>
    <x:col min="2" max="2" width="82" hidden="0" customWidth="1"/>
  </x:cols>
  <x:sheetData>
    <x:row r="1" ht="30" customHeight="1">
      <x:c r="A1" s="4" t="str">
        <x:v>Method and Decision Notes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7" t="str">
        <x:v>A transparent record of assumptions, calculation rules, and practical operating actions.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9" t="str">
        <x:v>Topic</x:v>
      </x:c>
      <x:c r="B4" s="21" t="str">
        <x:v>Detail</x:v>
      </x:c>
    </x:row>
    <x:row r="5" ht="15" hidden="0" customHeight="1">
      <x:c r="A5" s="31" t="str">
        <x:v>Project status</x:v>
      </x:c>
      <x:c r="B5" s="65" t="str">
        <x:v>Independent educational portfolio; all rider, driver, and trip data is synthetic.</x:v>
      </x:c>
    </x:row>
    <x:row r="6" ht="15" hidden="0" customHeight="1">
      <x:c r="A6" s="34" t="str">
        <x:v>Experiment method</x:v>
      </x:c>
      <x:c r="B6" s="66" t="str">
        <x:v>Intent-to-treat: each eligible allocated user remains in their assigned group.</x:v>
      </x:c>
    </x:row>
    <x:row r="7" ht="26.399999618530273" hidden="0" customHeight="1">
      <x:c r="A7" s="34" t="str">
        <x:v>Campaign decision</x:v>
      </x:c>
      <x:c r="B7" s="66" t="str">
        <x:v>Do not fully scale either current reward. Redesign Bundle with partner funding or lower second-trip subsidy; retain a Control holdout.</x:v>
      </x:c>
    </x:row>
    <x:row r="8" ht="26.399999618530273" hidden="0" customHeight="1">
      <x:c r="A8" s="34" t="str">
        <x:v>Marketplace action</x:v>
      </x:c>
      <x:c r="B8" s="66" t="str">
        <x:v>Prioritize airport peak periods: add supply and pause additional CRM sends when ETA or cancellation guardrails breach.</x:v>
      </x:c>
    </x:row>
    <x:row r="9" ht="26.399999618530273" hidden="0" customHeight="1">
      <x:c r="A9" s="34" t="str">
        <x:v>Quality handling</x:v>
      </x:c>
      <x:c r="B9" s="66" t="str">
        <x:v>Repair duplicates/time formatting; quarantine impossible sequences, invalid coordinates, or financial integrity failures; retain late arrivals as warnings.</x:v>
      </x:c>
    </x:row>
    <x:row r="10" ht="15" hidden="0" customHeight="1">
      <x:c r="A10" s="34" t="str">
        <x:v>Market context source</x:v>
      </x:c>
      <x:c r="B10" s="66" t="str">
        <x:v>https://stat.taiwan.net.tw/statistics?action=month</x:v>
      </x:c>
    </x:row>
    <x:row r="11" ht="15" hidden="0" customHeight="1">
      <x:c r="A11" s="34" t="str">
        <x:v>Airport context source</x:v>
      </x:c>
      <x:c r="B11" s="66" t="str">
        <x:v>https://www.taoyuan-airport.com/api/imagecrop/fileid/F4EC574E-463D-F111-BC24-0050569094FE</x:v>
      </x:c>
    </x:row>
    <x:row r="12" ht="15" hidden="0" customHeight="1">
      <x:c r="A12" s="37" t="str">
        <x:v>Full definitions</x:v>
      </x:c>
      <x:c r="B12" s="67" t="str">
        <x:v>See docs/metric_definitions.md and docs/cleaning_rules.md in the repository.</x:v>
      </x:c>
    </x:row>
  </x:sheetData>
  <x:mergeCells>
    <x:mergeCell ref="A1:P1"/>
    <x:mergeCell ref="A2:P2"/>
  </x:mergeCells>
  <x:pageMargins left="0.7" right="0.7" top="0.75" bottom="0.75" header="0.3" footer="0.3"/>
</x:worksheet>
</file>